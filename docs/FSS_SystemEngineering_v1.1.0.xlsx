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https://uithcm-my.sharepoint.com/personal/22520247_ms_uit_edu_vn/Documents/FSS/2. SYSTEM ENGINEERING/"/>
    </mc:Choice>
  </mc:AlternateContent>
  <xr:revisionPtr revIDLastSave="3044" documentId="11_F25DC773A252ABDACC1048DBA91863105ADE58E8" xr6:coauthVersionLast="47" xr6:coauthVersionMax="47" xr10:uidLastSave="{D82F2C2D-2785-4E82-B2DD-2110B07136ED}"/>
  <bookViews>
    <workbookView minimized="1" xWindow="6195" yWindow="1710" windowWidth="21600" windowHeight="11295" firstSheet="5" activeTab="5" xr2:uid="{00000000-000D-0000-FFFF-FFFF00000000}"/>
  </bookViews>
  <sheets>
    <sheet name="1. ReqSpec 17-00" sheetId="1" state="hidden" r:id="rId1"/>
    <sheet name="2. AttrSche 17-54" sheetId="2" state="hidden" r:id="rId2"/>
    <sheet name="3. SysReqSpec 15-51 v0.3.0" sheetId="3" state="hidden" r:id="rId3"/>
    <sheet name="4. SysArch 04-06 v0.1.0" sheetId="5" state="hidden" r:id="rId4"/>
    <sheet name="0. Overview" sheetId="9" r:id="rId5"/>
    <sheet name="ChangeLog" sheetId="10" r:id="rId6"/>
    <sheet name="1. ReqSpec" sheetId="7" r:id="rId7"/>
    <sheet name="2. Elements" sheetId="8" r:id="rId8"/>
    <sheet name="3. Interfaces" sheetId="6" r:id="rId9"/>
    <sheet name="4. Modes" sheetId="11" r:id="rId10"/>
    <sheet name="GUIDELINE" sheetId="12" r:id="rId11"/>
    <sheet name="Sheet1" sheetId="4" r:id="rId12"/>
  </sheets>
  <definedNames>
    <definedName name="_xlnm._FilterDatabase" localSheetId="2" hidden="1">'3. SysReqSpec 15-51 v0.3.0'!$F$13:$F$47</definedName>
    <definedName name="_xlnm._FilterDatabase" localSheetId="3" hidden="1">'4. SysArch 04-06 v0.1.0'!$A$5:$F$38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 l="1"/>
  <c r="A9" i="7" s="1"/>
  <c r="A10" i="7" s="1"/>
  <c r="A11" i="7" s="1"/>
  <c r="A12" i="7" s="1"/>
  <c r="A16" i="7" s="1"/>
  <c r="D2" i="5"/>
  <c r="E2" i="5"/>
  <c r="A17" i="7" l="1"/>
  <c r="A18" i="7" s="1"/>
  <c r="A20" i="7" l="1"/>
  <c r="A22" i="7" s="1"/>
  <c r="A23" i="7" s="1"/>
  <c r="A24" i="7" s="1"/>
  <c r="A2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tc={C5C1827D-8F25-4A16-88DB-F11FD6F5ED9A}</author>
    <author>tc={82E0623C-0C3C-4554-9593-93AB37886C3C}</author>
  </authors>
  <commentList>
    <comment ref="I60" authorId="0" shapeId="0" xr:uid="{C5C1827D-8F25-4A16-88DB-F11FD6F5ED9A}">
      <text>
        <t>[Threaded comment]
Your version of Excel allows you to read this threaded comment; however, any edits to it will get removed if the file is opened in a newer version of Excel. Learn more: https://go.microsoft.com/fwlink/?linkid=870924
Comment:
    Nên bỏ dùng PyQt vì không liên quan đến magicmirror, đặc biệt khi đây chỉ dùng CSS/JS để thiết kế &amp; xử ly logic</t>
      </text>
    </comment>
    <comment ref="B63" authorId="1" shapeId="0" xr:uid="{82E0623C-0C3C-4554-9593-93AB37886C3C}">
      <text>
        <t>[Threaded comment]
Your version of Excel allows you to read this threaded comment; however, any edits to it will get removed if the file is opened in a newer version of Excel. Learn more: https://go.microsoft.com/fwlink/?linkid=870924
Comment:
    Có thể cân nhắc thêm yêu cầu này
Reply:
    đã thêm</t>
      </text>
    </comment>
  </commentList>
</comments>
</file>

<file path=xl/sharedStrings.xml><?xml version="1.0" encoding="utf-8"?>
<sst xmlns="http://schemas.openxmlformats.org/spreadsheetml/2006/main" count="1214" uniqueCount="707">
  <si>
    <t>Version</t>
  </si>
  <si>
    <t>0.2.0</t>
  </si>
  <si>
    <t>SYSTEM REQUIREMENT SPECIFICATIONS</t>
  </si>
  <si>
    <t>Các yêu cầu được phân loại thành: yêu cầu chức năng, yêu cầu phi chức năng và hiệu năng, ràng buộc thiết kế.</t>
  </si>
  <si>
    <t>Phân nhóm theo luồng dữ liệu.</t>
  </si>
  <si>
    <t>Ư tiên theo phương pháp MoSCoW.</t>
  </si>
  <si>
    <t>1. Yêu cầu chức năng</t>
  </si>
  <si>
    <t>Các yêu cầu này xác định những gì hệ thống phải làm để đáp ứng mục tiêu "quản lý thực phẩm" và "giám sát môi trường".</t>
  </si>
  <si>
    <t>STT</t>
  </si>
  <si>
    <t>ĐỊNH DANH</t>
  </si>
  <si>
    <t>TIÊU ĐỀ YÊU CẦU</t>
  </si>
  <si>
    <t>MÔ TẢ YÊU CẦU</t>
  </si>
  <si>
    <t>NGUỒN</t>
  </si>
  <si>
    <t>PHÂN NHÓM</t>
  </si>
  <si>
    <t>ƯU TIÊN</t>
  </si>
  <si>
    <t>LÝ DO</t>
  </si>
  <si>
    <t>GIÁM SÁT MÔI TRƯỜNG</t>
  </si>
  <si>
    <t>SYS.FUNC.ENV.01</t>
  </si>
  <si>
    <t>Đọc dữ liệu cảm biến</t>
  </si>
  <si>
    <t>Hệ thống phải đọc được giá trị nhiệt độ và độ ẩm từ cảm biến SHT3x thông qua giao thức I2C với tuần suất 5 giây/lần.</t>
  </si>
  <si>
    <t>[env-1] Hệ thống cần thu thập dữ liệu nhiệt độ và độ ẩm bên trong tủ lạnh theo thời gian thực.</t>
  </si>
  <si>
    <t>HAL</t>
  </si>
  <si>
    <t>CAO</t>
  </si>
  <si>
    <t>Chức năng cơ bản của module giám sát môi trường.</t>
  </si>
  <si>
    <t>SYS.FUNC.ENV.02</t>
  </si>
  <si>
    <t>Xử lý tín hiệu số</t>
  </si>
  <si>
    <t>Hệ thống phải tính toán giá trị nhiệt độ với đơn vị là độ C và độ ẩm với đơn vị là phần trăm.</t>
  </si>
  <si>
    <t>[env-2] Hệ thống cần hiển thị trực quan các thông số môi trường lên màn hình đặt ngoài cánh tủ.</t>
  </si>
  <si>
    <t>CORE</t>
  </si>
  <si>
    <t>Chuyển đổi dữ liệu thô sang dữ liệu khả đọc.</t>
  </si>
  <si>
    <t>SYS.FUNC.ENV.03</t>
  </si>
  <si>
    <t>Hiển thị nhiệt độ môi trường</t>
  </si>
  <si>
    <t>Hệ thống phải hiển thị giá trị nhiệt độ với đơn vị là độ C lên giao diện người dùng.</t>
  </si>
  <si>
    <t>UI</t>
  </si>
  <si>
    <t>Output của module giám sát môi trường.</t>
  </si>
  <si>
    <t>SYS.FUNC.ENV.04</t>
  </si>
  <si>
    <t>Hiển thị độ ẩm môi trường</t>
  </si>
  <si>
    <t>Hệ thống phải hiển thị giá trị độ ẩm với đơn vị là phần trăm lên giao diện người dùng.</t>
  </si>
  <si>
    <t>MODULE TRỢ SÁNG</t>
  </si>
  <si>
    <t>SYS.FUCNC.LIGHT.01</t>
  </si>
  <si>
    <t>Điều khiển trợ sáng</t>
  </si>
  <si>
    <t>Hệ thống phải kích hoạt module trợ sáng chuyển sang trạng thái ON ngay khi nhận được tín hiệu kích hoạt từ cảm biến cửa.</t>
  </si>
  <si>
    <r>
      <t xml:space="preserve">[food-1] Hệ thống cần </t>
    </r>
    <r>
      <rPr>
        <b/>
        <sz val="11"/>
        <color rgb="FF005100"/>
        <rFont val="Calibri"/>
        <family val="2"/>
        <scheme val="minor"/>
      </rPr>
      <t>tự động</t>
    </r>
    <r>
      <rPr>
        <sz val="11"/>
        <color rgb="FF005100"/>
        <rFont val="Calibri"/>
        <family val="2"/>
        <scheme val="minor"/>
      </rPr>
      <t xml:space="preserve"> chụp ảnh lòng tủ lạnh </t>
    </r>
    <r>
      <rPr>
        <b/>
        <sz val="11"/>
        <color rgb="FF005100"/>
        <rFont val="Calibri"/>
        <family val="2"/>
        <scheme val="minor"/>
      </rPr>
      <t>khi nhận được tín hiệu kích hoạt từ cảm biến cửa</t>
    </r>
    <r>
      <rPr>
        <sz val="11"/>
        <color rgb="FF005100"/>
        <rFont val="Calibri"/>
        <family val="2"/>
        <scheme val="minor"/>
      </rPr>
      <t>.</t>
    </r>
  </si>
  <si>
    <t>Đảm bảo đủ ánh sáng cho Camera hoạt động.</t>
  </si>
  <si>
    <t>SYS.FUCNC.LIGHT.02</t>
  </si>
  <si>
    <t>Đồng bộ hóa chụp ảnh</t>
  </si>
  <si>
    <t>Hệ thống phải duy trì trạng thái ON của module trợ sáng trong suốt quá trình camera chụp ảnh.</t>
  </si>
  <si>
    <t>Đảm bảo không bị tối giữa chừng.</t>
  </si>
  <si>
    <t>SYS.FUCNC.LIGHT.03</t>
  </si>
  <si>
    <t>Ổn định sáng</t>
  </si>
  <si>
    <t>Hệ thống phải kich hoạt camera khi thời gian chờ ổn định sáng hoàn tất.</t>
  </si>
  <si>
    <t>Đảm bảo đồng bộ hóa giữa đèn và camera.</t>
  </si>
  <si>
    <t>SYS.FUCNC.LIGHT.04</t>
  </si>
  <si>
    <t>Ngắt trợ sáng</t>
  </si>
  <si>
    <t>Hệ thống phải chuyển module trợ sáng sang trạng thái OFF ngay sau khi quá trình chụp ảnh hoàn tất.</t>
  </si>
  <si>
    <t>Tiết kiệm năng lượng và tránh phát sinh nhiệt không cần thiết trong tủ lạnh.</t>
  </si>
  <si>
    <t>NHẬN DIỆN VÀ QUẢN LÝ THỰC PHẨM</t>
  </si>
  <si>
    <t>SYS.FUNC.FOOD.01</t>
  </si>
  <si>
    <t>Phân loại thực phẩm</t>
  </si>
  <si>
    <t>Khi nhận được dữ liệu hình ảnh đầu vào, hệ thống phải phân loại các đối tượng trong ảnh thành các nhóm thực phẩm được định nghĩa trước.</t>
  </si>
  <si>
    <r>
      <t xml:space="preserve">[food-02] Hệ thống cần </t>
    </r>
    <r>
      <rPr>
        <b/>
        <sz val="11"/>
        <color rgb="FF005100"/>
        <rFont val="Calibri"/>
        <family val="2"/>
        <scheme val="minor"/>
      </rPr>
      <t>nhận diện</t>
    </r>
    <r>
      <rPr>
        <sz val="11"/>
        <color rgb="FF005100"/>
        <rFont val="Calibri"/>
        <family val="2"/>
        <scheme val="minor"/>
      </rPr>
      <t xml:space="preserve"> và </t>
    </r>
    <r>
      <rPr>
        <b/>
        <sz val="11"/>
        <color rgb="FF005100"/>
        <rFont val="Calibri"/>
        <family val="2"/>
        <scheme val="minor"/>
      </rPr>
      <t>phân loại</t>
    </r>
    <r>
      <rPr>
        <sz val="11"/>
        <color rgb="FF005100"/>
        <rFont val="Calibri"/>
        <family val="2"/>
        <scheme val="minor"/>
      </rPr>
      <t xml:space="preserve"> các loại thực phẩm trong ảnh sử dụng mô hình AI.</t>
    </r>
  </si>
  <si>
    <t>Yêu cầu chính của đề tài.</t>
  </si>
  <si>
    <t>SYS.FUNC.FOOD.02</t>
  </si>
  <si>
    <t>Đếm số lượng</t>
  </si>
  <si>
    <t>Hệ thống phải tính toán số lượng của từng nhóm thực phẩm đã được phân loại trong ảnh.</t>
  </si>
  <si>
    <r>
      <t xml:space="preserve">[food-03] Hệ thống cần </t>
    </r>
    <r>
      <rPr>
        <b/>
        <sz val="11"/>
        <color rgb="FF005100"/>
        <rFont val="Calibri"/>
        <family val="2"/>
        <scheme val="minor"/>
      </rPr>
      <t>đếm số lượng</t>
    </r>
    <r>
      <rPr>
        <sz val="11"/>
        <color rgb="FF005100"/>
        <rFont val="Calibri"/>
        <family val="2"/>
        <scheme val="minor"/>
      </rPr>
      <t xml:space="preserve"> vật thể của từng loại thực phẩm.</t>
    </r>
  </si>
  <si>
    <t>TRUNG BÌNH</t>
  </si>
  <si>
    <t>Cần thiết để thực hiện các logic dựa trên kết quả của AI.</t>
  </si>
  <si>
    <t>SYS.FUNC.FOOD.03</t>
  </si>
  <si>
    <t>Định vị vật thể</t>
  </si>
  <si>
    <t>Hệ thống phải tạo ra dữ liệu tọa độ khung bao cho mỗi đối tượng thực phẩm được nhận diện.</t>
  </si>
  <si>
    <r>
      <t xml:space="preserve">[food-04] Hệ thống cần vẽ </t>
    </r>
    <r>
      <rPr>
        <b/>
        <sz val="11"/>
        <color rgb="FF005100"/>
        <rFont val="Calibri"/>
        <family val="2"/>
        <scheme val="minor"/>
      </rPr>
      <t>khung</t>
    </r>
    <r>
      <rPr>
        <sz val="11"/>
        <color rgb="FF005100"/>
        <rFont val="Calibri"/>
        <family val="2"/>
        <scheme val="minor"/>
      </rPr>
      <t xml:space="preserve"> bao quanh vật thể nhận diện được trên ảnh thực tế.</t>
    </r>
  </si>
  <si>
    <t>Cần thiết để chứng minh AI nhận diện đúng vị trí.</t>
  </si>
  <si>
    <t>SYS.FUNC.FOOD.04</t>
  </si>
  <si>
    <t>Hiển thị danh sách thực phẩm</t>
  </si>
  <si>
    <t>Khi quy trình nhận diện hoàn tất, hệ thống phải hiển thị danh sách tên và số lượng thực phẩm lên giao diện MagicMirror.</t>
  </si>
  <si>
    <t>[food05] Hệ thống cần hiển thị danh sách thực phẩm, số lượng xử lý lên màn hình LCD.</t>
  </si>
  <si>
    <t>SYS.FUNC.FOOD.05</t>
  </si>
  <si>
    <t>Hiển thị hình ảnh lòng tủ lạnh</t>
  </si>
  <si>
    <t>Hệ thống phải hiển thị hình ảnh thực tế bên trong tủ lạnh (được chụp ở phiên làm việc hiện tại) lên giao diện.</t>
  </si>
  <si>
    <r>
      <t xml:space="preserve">[food-04] Hệ thống cần vẽ khung bao quanh vật thể nhận diện được trên </t>
    </r>
    <r>
      <rPr>
        <b/>
        <sz val="11"/>
        <color rgb="FF005100"/>
        <rFont val="Calibri"/>
        <family val="2"/>
        <scheme val="minor"/>
      </rPr>
      <t>ảnh thực tế</t>
    </r>
    <r>
      <rPr>
        <sz val="11"/>
        <color rgb="FF005100"/>
        <rFont val="Calibri"/>
        <family val="2"/>
        <scheme val="minor"/>
      </rPr>
      <t>.</t>
    </r>
  </si>
  <si>
    <t>THẤP</t>
  </si>
  <si>
    <t>SYS.FUNC.FOOD.06</t>
  </si>
  <si>
    <t>Hiển thị khung bao</t>
  </si>
  <si>
    <t>Hệ thống phải vẽ các khung bao quanh các đối tượng thực phẩm đã nhận diện lên trên hình ảnh hiển thị.</t>
  </si>
  <si>
    <r>
      <t xml:space="preserve">[food-04] Hệ thống cần </t>
    </r>
    <r>
      <rPr>
        <b/>
        <sz val="11"/>
        <color rgb="FF005100"/>
        <rFont val="Calibri"/>
        <family val="2"/>
        <scheme val="minor"/>
      </rPr>
      <t>vẽ khung bao quanh vật thể nhận diện được</t>
    </r>
    <r>
      <rPr>
        <sz val="11"/>
        <color rgb="FF005100"/>
        <rFont val="Calibri"/>
        <family val="2"/>
        <scheme val="minor"/>
      </rPr>
      <t xml:space="preserve"> trên ảnh thực tế.</t>
    </r>
  </si>
  <si>
    <t>PHÁT HIỆN NGƯỜI DÙNG</t>
  </si>
  <si>
    <t>SYS.FUNC.UI.01</t>
  </si>
  <si>
    <t>Phát hiện người dùng</t>
  </si>
  <si>
    <t>Hệ thống phải phát thiện sự hiện diện của người dùng trong phạm vi bán kính 80cm phía trước màn hình.</t>
  </si>
  <si>
    <t>HIGH</t>
  </si>
  <si>
    <t>Chức năng kích hoạt giao diện, cần thiết cho Demo.</t>
  </si>
  <si>
    <t>SYS.FUNC.UI.02</t>
  </si>
  <si>
    <t>Chuyển trạng thái</t>
  </si>
  <si>
    <t>Hệ thống phải chuyển trạng thái màn hình từ SLEEP sang ACTIVE khi phát hiện người dùng.</t>
  </si>
  <si>
    <t>Tiết kiệm điện năng khi không có người.</t>
  </si>
  <si>
    <t>SYS.FUNC.UI.03</t>
  </si>
  <si>
    <t>Duy trì màn hình</t>
  </si>
  <si>
    <t>Hệ thống phải duy trì màn hình ở trạng thái ACTIVE trong thời gian tối thiểu 10 giây sau lần phát hiện người dùng cuối cùng.</t>
  </si>
  <si>
    <t>MEDIUM</t>
  </si>
  <si>
    <t>Tránh màn hình tắt/bật liên tục gây khó chịu.</t>
  </si>
  <si>
    <t>QUẢN LÝ DỮ LIỆU</t>
  </si>
  <si>
    <t>SYS.FUNC.DB.01</t>
  </si>
  <si>
    <t>Lưu trữ lịch sử môi trường</t>
  </si>
  <si>
    <t>Hệ thống phải lưu trữ dữ liệu nhiệt độ và độ ẩm định kỳ với tần suất 5 giây/lần.</t>
  </si>
  <si>
    <t>[db-01] Hệ thống cần lưu trữ lịch sử nhiệt độ, độ ẩm đo đạc được vào cơ sở dữ liệu cục bộ.</t>
  </si>
  <si>
    <t>DB</t>
  </si>
  <si>
    <t>Không ảnh hưởng đến luồng chính thời gian thực.</t>
  </si>
  <si>
    <t>SYS.FUNC.DB.02</t>
  </si>
  <si>
    <t>Quản lý kho tủ lạnh</t>
  </si>
  <si>
    <t>Hệ thống phải cập nhật và lưu trữ danh sách thực phẩm vào cơ sở dữ liệu ngay sau khi hoàn tất quy trình nhận diện ảnh.</t>
  </si>
  <si>
    <t>[db-02] Hệ thống cần quản lý danh sách thực phẩm hiện có trong tủ thông qua cơ sở dữ liệu.</t>
  </si>
  <si>
    <t>Đồng bộ các cho các module.</t>
  </si>
  <si>
    <t>2. Yêu cầu phi chức năng và hiệu năng</t>
  </si>
  <si>
    <t>Các yêu cầu này xác định các thuộc tính chất lượng và ràng buộc kỹ thuật của hệ thống.</t>
  </si>
  <si>
    <t>TIÊU CHÍ CHẤP NHẬN</t>
  </si>
  <si>
    <t>GHI CHÚ</t>
  </si>
  <si>
    <t>SYS.PERF.01</t>
  </si>
  <si>
    <t>Độ trễ xử lý</t>
  </si>
  <si>
    <r>
      <t>Tổng thời gian từ lúc kích hoạt cảm biến cửa, chụp ảnh, suy luận AI đến khi cập nhật thông tin lên màn hình không được</t>
    </r>
    <r>
      <rPr>
        <sz val="11"/>
        <color rgb="FFC00000"/>
        <rFont val="Calibri"/>
        <family val="2"/>
        <scheme val="minor"/>
      </rPr>
      <t xml:space="preserve"> vượt quá 5 giây.</t>
    </r>
  </si>
  <si>
    <t>Tổng thời gian từ lúc kích hoạt cảm biến, chụp ảnh, suy luận AI đến khi hiển thị kết quả nằm trong khoảng 5 giây.</t>
  </si>
  <si>
    <t>PERF</t>
  </si>
  <si>
    <t>Mục tiêu tối ưu. Chậm hơn chút vẫn được.</t>
  </si>
  <si>
    <t>Đo thời gian xử lý &lt; 5s</t>
  </si>
  <si>
    <t>trigger latency + light latency + capture lantency + AI process latency + UI latency</t>
  </si>
  <si>
    <t>SYS.PERF.02</t>
  </si>
  <si>
    <t>Độ chính xác AI</t>
  </si>
  <si>
    <t>Mô hình nhận diện phải đạt độ chính xác trung bình (mAP@0.5) lớn hơn 0.7 đối với tập dữ liệu kiểm thử.</t>
  </si>
  <si>
    <t>Độ chính xác trung bình của mô hình phải đạt kỳ vọng &gt; 0.7.</t>
  </si>
  <si>
    <t>Demo thuận lợi.</t>
  </si>
  <si>
    <t>mAP@0.5 &gt; 0.7</t>
  </si>
  <si>
    <t>SYS.PERF.03</t>
  </si>
  <si>
    <t>Độ chính xác cảm biến</t>
  </si>
  <si>
    <t>Giá trị nhiệt độ hiển thị phải có sai số nằm trong khoảng +-0.3 C so với giá trị đo chuẩn.</t>
  </si>
  <si>
    <t>[env-3] Cảm biến nhiệt độ/độ ẩm (SHT3x) phải đạt độ sai số +-0.3C.</t>
  </si>
  <si>
    <t>Phụ thuộc vào phần cứng. Cần tinh chỉnh (calibrate) sau khi đã hiển thị được dữ liệu.</t>
  </si>
  <si>
    <t>+-0.3</t>
  </si>
  <si>
    <t>SYS.PERF.04</t>
  </si>
  <si>
    <t>Độ trễ cảm biến</t>
  </si>
  <si>
    <t>Hệ thống phải cập nhật giá trị nhiệt độ và độ ẩm hiển thị với độ trễ không quá 1 giây so với thời điểm đo từ cảm biến.</t>
  </si>
  <si>
    <r>
      <t xml:space="preserve">[env-1] Hệ thống cần thu thập dữ liệu nhiệt độ và độ ẩm bên trong tủ lạnh </t>
    </r>
    <r>
      <rPr>
        <b/>
        <sz val="11"/>
        <color rgb="FF950000"/>
        <rFont val="Calibri"/>
        <family val="2"/>
        <scheme val="minor"/>
      </rPr>
      <t>theo thời gian thực</t>
    </r>
    <r>
      <rPr>
        <sz val="11"/>
        <color rgb="FF950000"/>
        <rFont val="Calibri"/>
        <family val="2"/>
        <scheme val="minor"/>
      </rPr>
      <t>.</t>
    </r>
  </si>
  <si>
    <t>Với việc giám sát nhiệt độ tủ lạnh, độ trễ 1s không quá khắt khe.</t>
  </si>
  <si>
    <t>delay &lt;= 2s</t>
  </si>
  <si>
    <t>SYS.PERF.05</t>
  </si>
  <si>
    <t>Độ trễ phát hiện tín hiệu</t>
  </si>
  <si>
    <t>Hệ thống phải phát hiện sự thay đổi mức logic tín hiệu từ cảm biến cửa trong thời gian dưới 100ms</t>
  </si>
  <si>
    <t>trigger latency &lt;= 100ms</t>
  </si>
  <si>
    <t>SYS.PERF.06</t>
  </si>
  <si>
    <t>Thời gian ổn định sáng</t>
  </si>
  <si>
    <t>Hệ thống phải chờ một khoảng thời gian tối thiểu 200ms sau khi bật đèn rồi mới ra lệnh cho camera bắt đầu chụp hình.</t>
  </si>
  <si>
    <t>light latency &gt;= 200ms</t>
  </si>
  <si>
    <t>SYS.PERF.07</t>
  </si>
  <si>
    <t>Độ trễ hiển thị</t>
  </si>
  <si>
    <t>Độ trễ hiển thị từ lúc có kết quả phân tích đến khi cập nhật giao diện phải nhỏ hơn 500ms.</t>
  </si>
  <si>
    <t>UI latency &lt;= 500ms</t>
  </si>
  <si>
    <t>SYS.PERF.08</t>
  </si>
  <si>
    <t>Tài nguyên hệ thống</t>
  </si>
  <si>
    <r>
      <t>Hệ thống phải sử dụng tối đa</t>
    </r>
    <r>
      <rPr>
        <sz val="11"/>
        <color rgb="FFDF0000"/>
        <rFont val="Calibri"/>
        <family val="2"/>
        <scheme val="minor"/>
      </rPr>
      <t xml:space="preserve"> 2.5 GB RAM </t>
    </r>
    <r>
      <rPr>
        <sz val="11"/>
        <color theme="1"/>
        <rFont val="Calibri"/>
        <family val="2"/>
        <scheme val="minor"/>
      </rPr>
      <t>(Peak Memory Usage) tại bất kỳ thời điểm nào trong quá trình thực hiện suy luận AI.</t>
    </r>
  </si>
  <si>
    <t>Tự thêm vào.</t>
  </si>
  <si>
    <t>ENG</t>
  </si>
  <si>
    <t>Phần cứng có giới hạn, quả lý bộ nhó kém sẽ gây ra OOM.</t>
  </si>
  <si>
    <t>SYS.PERF.09</t>
  </si>
  <si>
    <t>Tỷ lệ nhận diện đúng</t>
  </si>
  <si>
    <t>Hệ thống phải đạt tỷ lệ Recall tối thiểu là 80% đối với các đối tượng thực phẩm bị che khuất từ 30% đến 50% diện tích bề mặt trong tập dữ liệu kiểm thử.</t>
  </si>
  <si>
    <t>SYS.PERF.10</t>
  </si>
  <si>
    <t>Cơ chế an toàn</t>
  </si>
  <si>
    <t>Hệ thống phải tự động ngắt kích hoạt module trợ sáng nếu thời gian hoạt động liên tục vượt quá 10 giây ± 1 giây.</t>
  </si>
  <si>
    <t>Cần để bảo đảm không hư hỏng thiết bị.</t>
  </si>
  <si>
    <t>life time &gt;= 10s</t>
  </si>
  <si>
    <t>SYS.PERF.11</t>
  </si>
  <si>
    <t>Độ trễ phát hiện người dùng</t>
  </si>
  <si>
    <t>Thời gian phản hồi từ lúc người dùng bước vào phạm vi phát hiện đến khi màn hình sáng lên phải nhỏ hơn 1 giây.</t>
  </si>
  <si>
    <t>perf</t>
  </si>
  <si>
    <t>Đảm bảo trải nghiệm người dùng mượt mà.</t>
  </si>
  <si>
    <t>SYS.NOF.01</t>
  </si>
  <si>
    <t>Quyền riêng tư</t>
  </si>
  <si>
    <t>Hệ thống phải lưu trữ và xử lý dữ liệu hình ảnh hoàn toàn trong bộ nhớ cục bộ của thiết bị.</t>
  </si>
  <si>
    <t>Hệ thống phải xử lý dữ liệu hoàn toàn offline tại biên, không đẩy dữ liệu cá nhân hay hình ảnh lên cloud để đảm bảo quyền riêng tư.</t>
  </si>
  <si>
    <t>Yêu cầu bắt buộc của đề tài.</t>
  </si>
  <si>
    <t>SYS.NOF.02</t>
  </si>
  <si>
    <t>Tính sẵn sàng</t>
  </si>
  <si>
    <t>Hệ thống phải tự động khởi động lại dịch vụ giám sát môi trường trong vòng 60 giây sau khi có điện trở lại.</t>
  </si>
  <si>
    <t>Chưa ưu tiên.</t>
  </si>
  <si>
    <t>SYS.NOF.03</t>
  </si>
  <si>
    <t>Tính độc lập</t>
  </si>
  <si>
    <t>Hệ thống phải thực hiện quy trình nhận diện thực phẩm và cập nhật cơ sở dữ liệu ngay cả khi trạng thái kết nối mạng là "Ngắt kết nối".</t>
  </si>
  <si>
    <t>Hệ thống không được phụ thuộc vào kết nối Internet để thực hiện tính năng nhận diện thực phẩm.</t>
  </si>
  <si>
    <t>Yêu cầu chứng minh khả năng độc lập.</t>
  </si>
  <si>
    <t>SYS.NOF.04</t>
  </si>
  <si>
    <t>Tính mở rộng</t>
  </si>
  <si>
    <t>Hệ thống phải hỗ trợ cập nhật mô hình nhận diện mới thông qua việc thay thế tệp cấu hình mà không yêu cầu biên dịch lại (re-compile) mã nguồn ứng dụng.</t>
  </si>
  <si>
    <t>EXP</t>
  </si>
  <si>
    <t>Hướng phát triển tương lai.</t>
  </si>
  <si>
    <t>Kiến trúc phần mềm</t>
  </si>
  <si>
    <t>Hệ thống phải được xây dựng theo kiến trúc hướng sự kiện để tối ưu hóa tài nguyên trên thiết bị nhúng.</t>
  </si>
  <si>
    <t>Hệ thống phải được thiết kế theo kiến trúc hướng sự kiện trên nền tảng MagicMirror2 để tối ưu hóa tài nguyên.</t>
  </si>
  <si>
    <t>Sai kiến trúc sẽ dẫn đến việc hệ thống bị treo trên luồng chính.</t>
  </si>
  <si>
    <t>Mã nguồn tuân thủ Event-Driven.</t>
  </si>
  <si>
    <t>3. Yêu cầu giao diện</t>
  </si>
  <si>
    <t>Xác định các tương tác giữa hệ thống và các thực thể bên ngoài.</t>
  </si>
  <si>
    <t>CHI TIẾT KỸ THUẬT</t>
  </si>
  <si>
    <t>SYS.INT.01</t>
  </si>
  <si>
    <t>Giao diện Cảm biến môi trường</t>
  </si>
  <si>
    <t>Hệ thống phải giao tiếp với module cảm biến SHT3x thông qua giao thức I2C.</t>
  </si>
  <si>
    <t>Giao thức I2C.</t>
  </si>
  <si>
    <t>giải pháp nằm ở mức đơn giản và ổn định, khả thi</t>
  </si>
  <si>
    <t>SYS.INT.02</t>
  </si>
  <si>
    <t>Giao diện Camera</t>
  </si>
  <si>
    <t>Hệ thống phải hỗ trợ kết nối với Camera module để thu thập hình ảnh đầu vào.</t>
  </si>
  <si>
    <t>Giao diện CSI.</t>
  </si>
  <si>
    <t>khả thi, đã từng thực hiện.</t>
  </si>
  <si>
    <t>SYS.INT.03</t>
  </si>
  <si>
    <t>Giao diện Cảm biến cửa</t>
  </si>
  <si>
    <t>Hệ thống phải nhận tín hiệu digital từ cảm biến cửa thông qua các chân GPIO của Raspberry Pi.</t>
  </si>
  <si>
    <t>Giao diện GPIO.</t>
  </si>
  <si>
    <t>điều kiện để thực hiện kích hoạt</t>
  </si>
  <si>
    <t>SYS.INT.04</t>
  </si>
  <si>
    <t>Giao diện Người dùng (HMI)</t>
  </si>
  <si>
    <t>Giao diện hiển thị phải được xây dựng trên nền tảng MagicMirror², hỗ trợ hiển thị trên màn hình LCD đặt sau gương.</t>
  </si>
  <si>
    <t>Nền tảng MagicMirror2.</t>
  </si>
  <si>
    <t>đã từng thực hiện, và chưa tìm thấy giải pháp đơn giản thay thế nhằm đạt hiệu suất cao hơn</t>
  </si>
  <si>
    <t>SYS.INT.05</t>
  </si>
  <si>
    <t>Giao diện điều khiển đèn</t>
  </si>
  <si>
    <t>Hệ thống phải điều khiển module trợ sáng thông qua tín hiệu số từ Raspberry Pi.</t>
  </si>
  <si>
    <t>GPIO/Relay</t>
  </si>
  <si>
    <t>SYS.INT.06</t>
  </si>
  <si>
    <t>Giao diện giữa các module</t>
  </si>
  <si>
    <t>Module xử lý ảnh phải cung cấp kết quả đầu ra tuân thủ cấu trúc dữ liệu JSON được định nghĩa.</t>
  </si>
  <si>
    <t>SYS.PHYS.01</t>
  </si>
  <si>
    <t>Nguồn điện (Power Requirement)</t>
  </si>
  <si>
    <t>Hệ thống sử dụng nguồn điện ngoài không phải nguồn điện từ tủ lạnh.</t>
  </si>
  <si>
    <t>Sử dung làm phần cứng</t>
  </si>
  <si>
    <t xml:space="preserve">Hệ thống phải hoạt động ổn định với nguồn cấp 5V-3A </t>
  </si>
  <si>
    <t>3. Ràng buộc thiết kế</t>
  </si>
  <si>
    <t>3.1. Phần cứng</t>
  </si>
  <si>
    <t>Trung tâm điều khiển</t>
  </si>
  <si>
    <t>Raspberry Pi 4B.</t>
  </si>
  <si>
    <t>Cảm biến môi trường</t>
  </si>
  <si>
    <t>SHT3x (giao tiếp I2C)</t>
  </si>
  <si>
    <t>Cảm biến kích hoạt</t>
  </si>
  <si>
    <t>Cảm biến cửa (giao tiếp GPIO, cảm biến hiện diện người dùng.</t>
  </si>
  <si>
    <t xml:space="preserve">Thiết bị hiển thị </t>
  </si>
  <si>
    <t>Màn hình LCD</t>
  </si>
  <si>
    <t>3.2. Công nghệ phần mềm</t>
  </si>
  <si>
    <t>Mô hình AI</t>
  </si>
  <si>
    <t>YOLOv11s</t>
  </si>
  <si>
    <t>Cơ sở dữ liệu</t>
  </si>
  <si>
    <t>SQLite</t>
  </si>
  <si>
    <t>Nền tảng ứng dụng</t>
  </si>
  <si>
    <t>MagicMirror2</t>
  </si>
  <si>
    <t>3.3. Phạm vi vật lý</t>
  </si>
  <si>
    <t>hệ thống chỉ áp dụng cho 1 ngăn tủ lạnh, không mở rộng cho các ngăn khác trong phạm vi khóa luận.</t>
  </si>
  <si>
    <t>3.4. Môi trường hoạt động</t>
  </si>
  <si>
    <t>Cần đảm bảo điều kiện ánh sáng bên trong tủ lạnh.</t>
  </si>
  <si>
    <t>3.5. Thời gian thực hiện</t>
  </si>
  <si>
    <t>23/01-05/06</t>
  </si>
  <si>
    <t>1. Định nghĩa các thuộc tính - Attribuite Schema</t>
  </si>
  <si>
    <t>Tên thuộc tính</t>
  </si>
  <si>
    <t>Ý nghĩa và Mục đích</t>
  </si>
  <si>
    <t>Giá trị cho phép</t>
  </si>
  <si>
    <t>Priority</t>
  </si>
  <si>
    <t>Mức độ ưu tiên để thực hiện.</t>
  </si>
  <si>
    <t>High - Must have, Medium - Should Have, Low - Could Have</t>
  </si>
  <si>
    <t>Status</t>
  </si>
  <si>
    <t>Trạng thái hiện tại của yêu cầu</t>
  </si>
  <si>
    <t>Open - Chưa làm, In Progress - Đang làm, Implemented - Đã code xong, Verified - Đã kiểm thử)</t>
  </si>
  <si>
    <t>Owner</t>
  </si>
  <si>
    <t>Phân công trách nhiệm cho thành viên trong nhóm</t>
  </si>
  <si>
    <t>Điển, Hiển</t>
  </si>
  <si>
    <t>Release Scope</t>
  </si>
  <si>
    <t>Xác định yêu cầu thuộc giai đoạn nào của đồ án.</t>
  </si>
  <si>
    <t>MVP - Báo cáo giữa kỳ/Core, Final - Bảo vệ cuối kỳ, Future - Nếu còn thời gian</t>
  </si>
  <si>
    <t>Risk</t>
  </si>
  <si>
    <t>Đánh giá rủi ro kỹ thuật khi thực hiện yêu cầu này.</t>
  </si>
  <si>
    <t>High - Khó/Công nghệ mới, Low - Dễ/Đã biết.</t>
  </si>
  <si>
    <t>Verif. Method</t>
  </si>
  <si>
    <t>Phương pháp sẽ dùng để kiểm chứng (SYS.5).</t>
  </si>
  <si>
    <t>Inspection - Xem xét, Test - Chạy thử, Analysis - Phân tích.</t>
  </si>
  <si>
    <t xml:space="preserve">Version </t>
  </si>
  <si>
    <t>0.3.0</t>
  </si>
  <si>
    <t>1. Tiêu chí phân tích - Analysis Criteria</t>
  </si>
  <si>
    <t>1.1. Tính khả thi kỹ thuật - Technical Feasibility</t>
  </si>
  <si>
    <t>Khả năng thực hiện yêu cầu trên phần cứng trong tài nguyên bị giới hạn.</t>
  </si>
  <si>
    <t>1.2. Tính đúng đắn - Correctness</t>
  </si>
  <si>
    <t>Yêu cầu có mâu thuẫn với ràng buộc vật lý hoặc logic không.</t>
  </si>
  <si>
    <t>1.3. Độ rủi ro - Risk</t>
  </si>
  <si>
    <t>Mức độ rủi ro khi triển khai.</t>
  </si>
  <si>
    <t>1.4. Tác động môi trường - Environmental Impact</t>
  </si>
  <si>
    <t>Ảnh hưởng của hệ thống lên môi trường lắp đặt.</t>
  </si>
  <si>
    <t>NO</t>
  </si>
  <si>
    <t>ID</t>
  </si>
  <si>
    <t>TÓM TẮT</t>
  </si>
  <si>
    <t>CHI TIẾT</t>
  </si>
  <si>
    <t>CATEGRORY</t>
  </si>
  <si>
    <t>PRIORITY</t>
  </si>
  <si>
    <t>RATIONALE</t>
  </si>
  <si>
    <t>Hệ thống phải đọc được giá trị nhiệt độ và độ ẩm từ cảm biến SHT3x thông qua giao thức I2C với tần suất 5 giây/lần.</t>
  </si>
  <si>
    <t>ENV-MON</t>
  </si>
  <si>
    <t>Dữ liệu đầu vào cơ bản nhất, dễ thực hiện để kiểm chứng phần cứng.</t>
  </si>
  <si>
    <t>Cần thiết để có dữ liệu hiển thị đúng chuẩn</t>
  </si>
  <si>
    <t>Chức năng hiển thị cơ bản trên giao diện MagicMirror</t>
  </si>
  <si>
    <t>ACQ-CTL</t>
  </si>
  <si>
    <t>Bắt buộc để đảm bảo chất lượng ảnh đầu vào cho AI trong môi trường tối</t>
  </si>
  <si>
    <t>Đảm bảo ảnh không bị đen/mất hình</t>
  </si>
  <si>
    <t>Tinh chỉnh delay để ảnh rõ nét hơn, làm sau khi logic bật/tắt đã chạy</t>
  </si>
  <si>
    <t>SYS.FUNC.LIGHT.04</t>
  </si>
  <si>
    <t>Quan trọng để tiết kiệm điện và tránh tỏa nhiệt trong tủ lạnh</t>
  </si>
  <si>
    <t>AI-CORE</t>
  </si>
  <si>
    <t>Chức năng lõi của đề tài khóa luận.</t>
  </si>
  <si>
    <t>Yêu cầu nghiệp vụ chính để quản lý kho.</t>
  </si>
  <si>
    <t>Cần thiết để vẽ khung bao, nhưng nếu chỉ ra danh sách thì vẫn chấp nhận được ở mức MVP.</t>
  </si>
  <si>
    <t>Kết quả đầu ra cuối cùng cho người dùng.</t>
  </si>
  <si>
    <t>Tăng tính trực quan ("nhìn xuyên thấu").</t>
  </si>
  <si>
    <t>Trực quan hóa kết quả AI, làm sau khi hiển thị được ảnh gốc.</t>
  </si>
  <si>
    <t>DB-MGMT</t>
  </si>
  <si>
    <t>LOW</t>
  </si>
  <si>
    <t>Tính năng phụ trợ (logging), không ảnh hưởng luồng chính.</t>
  </si>
  <si>
    <t>Cần thiết để lưu trạng thái giữa các lần đóng mở cửa.</t>
  </si>
  <si>
    <r>
      <rPr>
        <sz val="11"/>
        <color rgb="FF000000"/>
        <rFont val="Calibri"/>
        <scheme val="minor"/>
      </rPr>
      <t>Tổng thời gian từ lúc kích hoạt cảm biến cửa, chụp ảnh, suy luận AI đến khi cập nhật thông tin lên màn hình không được</t>
    </r>
    <r>
      <rPr>
        <sz val="11"/>
        <color rgb="FFC00000"/>
        <rFont val="Calibri"/>
        <scheme val="minor"/>
      </rPr>
      <t xml:space="preserve"> vượt quá 5 giây.</t>
    </r>
  </si>
  <si>
    <t>SYS-CON</t>
  </si>
  <si>
    <t>Thước đo hiệu năng quan trọng nhất của hệ thống biên.</t>
  </si>
  <si>
    <t>mAP &gt; 0.7 là chỉ số đánh giá thành công của khóa luận</t>
  </si>
  <si>
    <t>Cần tinh chỉnh (calibrate) sau khi đã hiển thị được dữ liệu.</t>
  </si>
  <si>
    <t>Đảm bảo hệ thống phản hồi tức thì khi đóng cửa.</t>
  </si>
  <si>
    <t>Thông số cấu hình cho yêu cầu LIGHT.03.</t>
  </si>
  <si>
    <t>Tối ưu trải nghiệm UX.</t>
  </si>
  <si>
    <t>Ràng buộc phần cứng Raspberry Pi, nếu vi phạm hệ thống sẽ crash.</t>
  </si>
  <si>
    <t>Chỉ số nâng cao (Recall) cho các vật thể bị che khuất.</t>
  </si>
  <si>
    <r>
      <t xml:space="preserve">Hệ thống phải tự động ngắt kích hoạt </t>
    </r>
    <r>
      <rPr>
        <b/>
        <sz val="11"/>
        <color rgb="FF950000"/>
        <rFont val="Calibri"/>
        <family val="2"/>
        <scheme val="minor"/>
      </rPr>
      <t>module trợ sáng</t>
    </r>
    <r>
      <rPr>
        <sz val="11"/>
        <color theme="1"/>
        <rFont val="Calibri"/>
        <family val="2"/>
        <scheme val="minor"/>
      </rPr>
      <t xml:space="preserve"> nếu thời gian hoạt động liên tục vượt quá 10 giây ± 1 giây.</t>
    </r>
  </si>
  <si>
    <t>CRITICAL: Ngăn ngừa cháy nổ/quá nhiệt nếu phần mềm bị treo</t>
  </si>
  <si>
    <t>Yêu cầu phi chức năng cốt lõi.</t>
  </si>
  <si>
    <t>Tiện ích khi triển khai thực tế (deploy).</t>
  </si>
  <si>
    <t>Đặc tính kỹ thuật quan trọng nhất phân biệt với sản phẩm thị trường.</t>
  </si>
  <si>
    <t>Tính năng nâng cao, thực hiện nếu còn thời gian.</t>
  </si>
  <si>
    <t>SYS.NOF.05</t>
  </si>
  <si>
    <t>Định hướng thiết kế (Event-Driven) bắt buộc tuân thủ từ đầu.</t>
  </si>
  <si>
    <t>No</t>
  </si>
  <si>
    <t>Trace</t>
  </si>
  <si>
    <t>System Element</t>
  </si>
  <si>
    <t>Type</t>
  </si>
  <si>
    <t>Description</t>
  </si>
  <si>
    <t>Rationale</t>
  </si>
  <si>
    <t>Raspberry Pi 4B</t>
  </si>
  <si>
    <t>Hardware/Computing Platform</t>
  </si>
  <si>
    <t>Thiết bị xử lý trung tâm của hệ thống, đảm nhiệm các chức năng:
- Đóng vai trò I2C Master để gửi lệnh đọc và nhận dữ liệu từ cảm biến môi trường.</t>
  </si>
  <si>
    <t>Là phần cứng chủ đạo thực thi toàn bộ logic điều khiển và xử lý dữ liệu trong hệ thống.</t>
  </si>
  <si>
    <t>- Cung cấp tài nguyên CPU và bộ nhớ để thực thi các tác vụ xử lý số, bao gồm chuyển đổi dữ liệu thô sang giá trị vật lý.</t>
  </si>
  <si>
    <t>- Đóng vai trò là bộ điều khiển hiển thị, cung cấp tín hiệu hình ảnh qua cổng video.</t>
  </si>
  <si>
    <t>- Tiếp nhận tín hiệu từ cảm biến và ra quyết định điều khiển.</t>
  </si>
  <si>
    <t>- Kiểm soát trạng thái của lighting module và camera.</t>
  </si>
  <si>
    <t>SHT3x Sensor</t>
  </si>
  <si>
    <t>Hardware/Peripheral</t>
  </si>
  <si>
    <t>Thành phần vật lý thực hiện chức năng đo lường môi trường.</t>
  </si>
  <si>
    <t>Yêu cầu chỉ định rõ tên linh kiện phần cứng cụ thể cần sử dụng.</t>
  </si>
  <si>
    <t>Bus I2C</t>
  </si>
  <si>
    <t>Interface/Hardware</t>
  </si>
  <si>
    <t>Dây dẫn vật lý kết nối giữa Raspberry Pi và SHT3x.</t>
  </si>
  <si>
    <t>Định nghĩa giao diện kết nối giữa máy tính nhúng và cảm biến.</t>
  </si>
  <si>
    <t>I2C Driver/HAL</t>
  </si>
  <si>
    <t>Interface/System Software</t>
  </si>
  <si>
    <t>Thành phần phần mềm cấp thấp chịu trách nhiệm:
- đóng gói dữ liệu theo chuẩn giao thức I2C để hệ điều hành giao tiếp với phần cứng.</t>
  </si>
  <si>
    <t>- Chuyển đổi giá trị thô từ thanh ghi của cảm biến sang giá trị vật lý có nghĩa.</t>
  </si>
  <si>
    <t>MMM-Env-Supervisor</t>
  </si>
  <si>
    <t>Software Component</t>
  </si>
  <si>
    <t>Thành phần phần mềm chịu trách nhiệm: 
- Chứa logic nghiệp vụ chính, bao gồm một thuộc tính cấu hình để đáp ứng yêu cầu định kỳ 5 giây/lần.</t>
  </si>
  <si>
    <t>Phần cứng thụ động, việc điều khiển phụ thuộc vào phần mềm.</t>
  </si>
  <si>
    <t>- Quản lý luồng dữ liệu, bao gồm logic để gọi hàm đọc và nhận kết quả trả về.</t>
  </si>
  <si>
    <t>- Nhận dữ liệu và render giao diện hiển thị nhiệt độ/độ ẩm.</t>
  </si>
  <si>
    <t>Display Screen</t>
  </si>
  <si>
    <t>Hardware</t>
  </si>
  <si>
    <t>Thiết bị ngoại vi đóng vai trò là giao diện đầu ra để người dùng thấy thông tin.</t>
  </si>
  <si>
    <t>HDMI Cable/DSI</t>
  </si>
  <si>
    <t>Thiết bị vật lý kết nối giữa Raspberry Pi và Màn hình</t>
  </si>
  <si>
    <t>MagicMirror2 Core</t>
  </si>
  <si>
    <t>Software/Application Framework</t>
  </si>
  <si>
    <t>Môi trường thực thi quản lý việc hiển thị module lên màn hình chính.</t>
  </si>
  <si>
    <t>Lighting Module</t>
  </si>
  <si>
    <t>Thiết bị đầu ra thực hiện hành động phát sáng.</t>
  </si>
  <si>
    <t>Door Sensor</t>
  </si>
  <si>
    <t>Thiết bị đầu vào để phát hiện trạng thái đóng/mở.</t>
  </si>
  <si>
    <t>Module Relay</t>
  </si>
  <si>
    <t>Thiết bị đóng ngắt mạch điện động lực và giữ dòng ổn định.</t>
  </si>
  <si>
    <t>Điện áp của GPIO không kéo lên được 5V.</t>
  </si>
  <si>
    <t>GPIO Driver/HAL</t>
  </si>
  <si>
    <t>Interface/Software</t>
  </si>
  <si>
    <t>Thành phần phần mềm cấp thấp chịu trách nhiệm cấu hình chân pin và xử lý ngắt đọc trạng thái cảm biến cửa.</t>
  </si>
  <si>
    <t>Lighting Wire</t>
  </si>
  <si>
    <t>Dây dẫn vật lý kết nối giữa Raspberry Pi và Relay/Lighting Module.</t>
  </si>
  <si>
    <t>Door Wire</t>
  </si>
  <si>
    <t>Dây dẫn vật lý kết nối giữa Raspberry Pi và Door Sensor.</t>
  </si>
  <si>
    <t>SensorManager</t>
  </si>
  <si>
    <t>Software/Logic Component</t>
  </si>
  <si>
    <t>Module phần mềm chứa logic nghiệp vụ "Nếu có sự kiện ngắt từ cửa, gửi lệnh Bật đèn".</t>
  </si>
  <si>
    <t>LightManager</t>
  </si>
  <si>
    <t>Module phần mềm chứa logic quản lý trạng thái của đèn.</t>
  </si>
  <si>
    <t>Camera Module</t>
  </si>
  <si>
    <t>Thiết bị thu thập dữ liệu hình ảnh.</t>
  </si>
  <si>
    <t>ImageAcquistionController</t>
  </si>
  <si>
    <t>Module phần mềm chứa biến trạng thái,  logic để khóa tài nguyên đèn trong khi hàm chụp ảnh đang thực thi.</t>
  </si>
  <si>
    <t>Camera Driver/HAL</t>
  </si>
  <si>
    <t>Thành phần phần mềm cấp thấp chịu trách nhiệm kích hoạt chụp ảnh và báo cáo trạng thái CAPTURING/OFF/ON.</t>
  </si>
  <si>
    <t>In System Architecture Design, the output we need include:</t>
  </si>
  <si>
    <t>- Interface Specification</t>
  </si>
  <si>
    <t>- BDD</t>
  </si>
  <si>
    <t>- IBD</t>
  </si>
  <si>
    <t>- Operational Modes Description</t>
  </si>
  <si>
    <t>- Sequence Diagram</t>
  </si>
  <si>
    <t>- State Machine Diagram</t>
  </si>
  <si>
    <t>Change Description:</t>
  </si>
  <si>
    <t>Must have [Reason] [Sheet changed][Sections changed][Details]</t>
  </si>
  <si>
    <t>Reason</t>
  </si>
  <si>
    <t>[Add New], [Change Request], [Fix], [Update]</t>
  </si>
  <si>
    <t>Actions</t>
  </si>
  <si>
    <t>A/M/D - Add/Modify/Delete</t>
  </si>
  <si>
    <t>VERSION</t>
  </si>
  <si>
    <t>CHANGE DESCRIPTION</t>
  </si>
  <si>
    <t>ACTIONS</t>
  </si>
  <si>
    <t>NOTES</t>
  </si>
  <si>
    <t>-</t>
  </si>
  <si>
    <t>System Requirement Specifications</t>
  </si>
  <si>
    <t>0.1.0</t>
  </si>
  <si>
    <t>[Add New]: Initial the System Requirement Specifications.</t>
  </si>
  <si>
    <t>A</t>
  </si>
  <si>
    <t>0.4.0</t>
  </si>
  <si>
    <t>[Update]: Concised the Requirement.</t>
  </si>
  <si>
    <t>M,D</t>
  </si>
  <si>
    <t>Miss log 0.2.0, 0.3.0</t>
  </si>
  <si>
    <t>0.5.0</t>
  </si>
  <si>
    <t>[Add New]: Add new requirement.
- Add SYS.FUNC.CAM.02: Add requirement relate to image capture process.
- Fix ambiguity requirements.</t>
  </si>
  <si>
    <t>A, M</t>
  </si>
  <si>
    <t>Fix indexes.</t>
  </si>
  <si>
    <t>1.2.0</t>
  </si>
  <si>
    <t>[Update]: Removed LED Module and Relay dependencies due to hardware scope change. Removed SYS.FUNC.CAM.01, SYS.SAFE.01, and related HW elements/interfaces.</t>
  </si>
  <si>
    <t>Align with SWE 1.2.0 and new HW constraints.</t>
  </si>
  <si>
    <t>System Element Specifications</t>
  </si>
  <si>
    <t>[Add New]: Initial the System Element Specifications.</t>
  </si>
  <si>
    <t>0.1.1</t>
  </si>
  <si>
    <t>[Add New]: Add new trace to SYS.ELEM.06.</t>
  </si>
  <si>
    <t>[Add New]: Add Database Element.</t>
  </si>
  <si>
    <t>[Update]: Updated Hardware Elements. Changed Door Sensor to MC-38 (GPIO), Presence Sensor to VL53L0X (I2C), and Camera to USB Web Camera (UVC). Updated Interfaces accordingly.</t>
  </si>
  <si>
    <t>M</t>
  </si>
  <si>
    <t>Fix hardware interface inconsistencies.</t>
  </si>
  <si>
    <t>System Interface Specifications</t>
  </si>
  <si>
    <t>[Add New]: Add Database-Application Interface.</t>
  </si>
  <si>
    <t>[Update]: Aligned System Requirements (SYS.FUNC.CAM.02, SYS.FUNC.AI.01) with FRT Pipeline v1.2. Transitioned from 'still image capture on close' to 'continuous real-time tracking during DOOR_OPEN'.</t>
  </si>
  <si>
    <t>Fix inconsistency with Week 5 tracking pipeline.</t>
  </si>
  <si>
    <t>Operation Mode Descriptions</t>
  </si>
  <si>
    <t>[Add New]: Initial Operation Mode Descriptions.</t>
  </si>
  <si>
    <t>[Update]: Redefined Operation Modes based on the new FRT Pipeline v1.2 (YOLOv11 Single-stage detection &amp; Tracking) and Event-Driven architecture.</t>
  </si>
  <si>
    <t>Updated SYS.MODE.04 and SYS.MODE.05 to reflect real-time AI tracking during DOOR_OPEN and Database update upon DOOR_CLOSE.</t>
  </si>
  <si>
    <t>0.1.2</t>
  </si>
  <si>
    <t>[Update]: Changed camera hardware and interface from Pi Camera (CSI) to USB Camera (UVC) based on advisor's feedback.</t>
  </si>
  <si>
    <t>Updated SYS.MODE.01 and SYS.MODE.04 to replace CSI Interface with UVC (USB Video Class) Interface.</t>
  </si>
  <si>
    <t>Project Name</t>
  </si>
  <si>
    <t>Fridge Supervisor System - FSS</t>
  </si>
  <si>
    <t>Document Name</t>
  </si>
  <si>
    <t>0.6.0</t>
  </si>
  <si>
    <t>Allocation</t>
  </si>
  <si>
    <t>Should be updated after having a surely Architecture Design.</t>
  </si>
  <si>
    <t>DESCRIPTION</t>
  </si>
  <si>
    <t>TYPE</t>
  </si>
  <si>
    <t>ALLOCATION</t>
  </si>
  <si>
    <t>RISK/ACTION</t>
  </si>
  <si>
    <t>Functional Requirement</t>
  </si>
  <si>
    <t>The System shall acquire environmental data (temperature and humidity) and update the user interface display with a sampling interval of 5 seconds.</t>
  </si>
  <si>
    <t>Sensor Subsystem</t>
  </si>
  <si>
    <t>The System shall store historical environmental data into an internal database for retrospective retrieval.</t>
  </si>
  <si>
    <t>Database Module</t>
  </si>
  <si>
    <t>The Raspberry Pi's SD card is damaged due to repeated writing and deleting. So do not write directly to the SD card for high=frequency sensor data.</t>
  </si>
  <si>
    <t>SYS.FUNC.CAM.01</t>
  </si>
  <si>
    <t>The System shall automatically control the auxiliary lighting module synchronously with the image capture process (specified in SYS.FUNC.CAM.02) upon detecting a door-close signal, ensuring the captured image has a mean pixel intenssity greater than 100 (on 0-255 scale).</t>
  </si>
  <si>
    <t>Acquisition Subsystem</t>
  </si>
  <si>
    <t>SYS.FUNC.CAM.02</t>
  </si>
  <si>
    <t>The system shall capture continuous video frames from the USB Web Camera upon detecting a transition to the DOOR OPEN state to feed the FRT Pipeline.</t>
  </si>
  <si>
    <t>SYS.FUNC.AI.01</t>
  </si>
  <si>
    <t>The system shall run continuous real-time multi-object tracking (YOLOv11 Pipeline) on the video stream during the DOOR OPEN state to classify and track food items.</t>
  </si>
  <si>
    <t>AI Core</t>
  </si>
  <si>
    <t>SYS.FUNC.AI.02</t>
  </si>
  <si>
    <t>The System shall display the identification results (including object list, count, and bounding boxes) overlaid on the captured still image on the user interface.</t>
  </si>
  <si>
    <t>UI Module</t>
  </si>
  <si>
    <t>SYS.FUNC.AI.03</t>
  </si>
  <si>
    <t>The System shall store recognized food into internal database.</t>
  </si>
  <si>
    <t>The main resource hanlde food list.</t>
  </si>
  <si>
    <t>The System shall transition the display to the ACTIVE state upon detecting user presence within a range of 80cm and maintain this state for a minimum of 10 seconds after presence is lost.</t>
  </si>
  <si>
    <t>Performance Requirement</t>
  </si>
  <si>
    <t>SYS.PERF.GEN.01</t>
  </si>
  <si>
    <t>The System shall achieve a total system latency (from Door Sensor signal detection to information display) of less than 5 seconds.</t>
  </si>
  <si>
    <t>System-wide</t>
  </si>
  <si>
    <t>CPU Pi 4 may not strong enough to load raw model. Need to apply quantizationn INT8 technique, resize image size, and use the TensorFlow Lite.
Need PoC to make sure the time constraint is achievable.</t>
  </si>
  <si>
    <t>SYS.PERF.AI.01</t>
  </si>
  <si>
    <t>The AI model shall achieve a mean Average Precision (mAP@0.5) greater than 0.7 and a Recall rate greater than 80%, including 50% occluded objects.</t>
  </si>
  <si>
    <t>Need a large labeled Dataset.
Optimize speed affect precision. Need to do QAT (Quantization-Aware Training).</t>
  </si>
  <si>
    <t>SYS.PERF.UI.01</t>
  </si>
  <si>
    <t>The user interface response latency (including presence detection and result updates) shall be less than 1 second.</t>
  </si>
  <si>
    <t>Safety Requirement</t>
  </si>
  <si>
    <t>SYS.SAFE.01</t>
  </si>
  <si>
    <t>The System shall implement a software-based watchdog logic to send a turn-off command to the lighting module if the active duration (after camera captures image) exceeds 10 seconds.</t>
  </si>
  <si>
    <t>Controller</t>
  </si>
  <si>
    <t>System Constraints</t>
  </si>
  <si>
    <t>SYS.CONST.HW.01</t>
  </si>
  <si>
    <t>The System Software shall operate within a maximum RAM consumption of 2.5 GB.</t>
  </si>
  <si>
    <t>System Constraint</t>
  </si>
  <si>
    <t>Using .tflite model format.</t>
  </si>
  <si>
    <t>SYS.CONST.HW.02</t>
  </si>
  <si>
    <t>The System shall utilize the Raspberry Pi 4B with 4GB RAM and the SHT31 sensor for environmental acquisition.</t>
  </si>
  <si>
    <t>SYS.CONST.SEC.01</t>
  </si>
  <si>
    <t>The System shall operate in an offline-first mode, processing all image data and AI inference locally without external network transmission.</t>
  </si>
  <si>
    <t>SYS.CONST.OPS.01</t>
  </si>
  <si>
    <t>The System shall automatically restart the monitoring service following a power interruption or software fault.</t>
  </si>
  <si>
    <t>System Elements</t>
  </si>
  <si>
    <t>* A.A: As Above</t>
  </si>
  <si>
    <t>No.</t>
  </si>
  <si>
    <t>Name</t>
  </si>
  <si>
    <t>Component</t>
  </si>
  <si>
    <t>Specifications</t>
  </si>
  <si>
    <t>SYS.ELEM.01</t>
  </si>
  <si>
    <t>Computational Unit</t>
  </si>
  <si>
    <t>HW</t>
  </si>
  <si>
    <t>- Raspberry Pi 4B 4GB</t>
  </si>
  <si>
    <t>SYS.CONST.HW.01
SYS.CONST.HW.02</t>
  </si>
  <si>
    <t>SYS.ELEM.02</t>
  </si>
  <si>
    <t>A.A*</t>
  </si>
  <si>
    <t>FSS Application</t>
  </si>
  <si>
    <t>SW</t>
  </si>
  <si>
    <t>- OS: Raspbery Pi OS.
- Capability: Offline processing, Software Watchdog implementation, AI inference, UI rendering, and Control Logic.</t>
  </si>
  <si>
    <t>SYS.FUNC.ENV.02
SYS.FUNC.CAM.01
SYS.PERF.GEN.01
SYS.CONST.SEC.01</t>
  </si>
  <si>
    <t>SYS.ELEM.03</t>
  </si>
  <si>
    <t>A.A</t>
  </si>
  <si>
    <t>FSS Database</t>
  </si>
  <si>
    <t>- SQLite.</t>
  </si>
  <si>
    <t>SYS.FUNC.ENV.02
SYS.FUNC.AI.03</t>
  </si>
  <si>
    <t>SYS.ELEM.04</t>
  </si>
  <si>
    <t>SHT31 Sensor</t>
  </si>
  <si>
    <t>- Digial Temperature and Humidity Sensor.
- Interface: I2C Protocol.
- Accuracy: 2%RH, 0.3C.</t>
  </si>
  <si>
    <t>SYS.FUNC.ENV.01
SYS.CONST.HW.02</t>
  </si>
  <si>
    <t>SYS.ELEM.05</t>
  </si>
  <si>
    <t>Door Sensor
(MC-38 Magnetic Switch)</t>
  </si>
  <si>
    <t>- Reed Switch.
- Interface: Digital GPIO.
- Function: Detect door state.</t>
  </si>
  <si>
    <t>SYS.ELEM.06</t>
  </si>
  <si>
    <t>VL53L0X Sensor</t>
  </si>
  <si>
    <t>- Time-of-Flight (ToF) distance sensor. 
- Interface: I2C Protocol.
- Detection capable at 80cm.
- Function: Detect presence of USER.</t>
  </si>
  <si>
    <t>SYS.ELEM.07</t>
  </si>
  <si>
    <t>USB Web Camera</t>
  </si>
  <si>
    <t>- USB 2.0/3.0 Camera. 
- Interface: USB (UVC protocol).</t>
  </si>
  <si>
    <t>SYS.FUNC.CAM.01
SYS.CAM.02
SYS.FUNC.AI.01</t>
  </si>
  <si>
    <t>SYS.ELEM.08</t>
  </si>
  <si>
    <t>Relay Module</t>
  </si>
  <si>
    <t>- 1 channel 5V Relay.
- Interface: Digital GPIO.</t>
  </si>
  <si>
    <t>SYS.FUNC.CAM.01
SYS.SAFE.01</t>
  </si>
  <si>
    <t>SYS.ELEM.09</t>
  </si>
  <si>
    <t>HMI Subsystem</t>
  </si>
  <si>
    <t>- 10 inch LCD Monitor.
- Interface: HDMI.</t>
  </si>
  <si>
    <t>SYS.FUNC.AI.02
SYS.FUNC.UI.01</t>
  </si>
  <si>
    <t>SYS.ELEM.10</t>
  </si>
  <si>
    <t>Power Subsystem</t>
  </si>
  <si>
    <t>PSU - Power Supply Unit</t>
  </si>
  <si>
    <t>- Pi supply power.
- LED supply power.</t>
  </si>
  <si>
    <t>All Functional Requirements.</t>
  </si>
  <si>
    <t>System Interface Specification</t>
  </si>
  <si>
    <t>SOURCE</t>
  </si>
  <si>
    <t>TARGET</t>
  </si>
  <si>
    <t>SPECIFICATIONS</t>
  </si>
  <si>
    <t>TRACE</t>
  </si>
  <si>
    <t>SYS.IF.INT.01</t>
  </si>
  <si>
    <t>Logical</t>
  </si>
  <si>
    <t>OS/HAL.</t>
  </si>
  <si>
    <t>SYS.PERF.GEN.01
SYS.SAFE.02</t>
  </si>
  <si>
    <t>SYS.IF.INT.02</t>
  </si>
  <si>
    <t>?</t>
  </si>
  <si>
    <t>SYS.IF.HW.01</t>
  </si>
  <si>
    <t>Physical</t>
  </si>
  <si>
    <t>I2C Bus.
Data</t>
  </si>
  <si>
    <t>SYS.IF.HW.02</t>
  </si>
  <si>
    <t>GPIO.
Signal.</t>
  </si>
  <si>
    <t>SYS.IF.HW.03</t>
  </si>
  <si>
    <t>Camera</t>
  </si>
  <si>
    <t>USB Bus / UVC Protocol</t>
  </si>
  <si>
    <t>SYS.IF.HW.04</t>
  </si>
  <si>
    <t>VL53L0x Sensor</t>
  </si>
  <si>
    <t>I2C bus.
Data</t>
  </si>
  <si>
    <t>SYS.IF.HW.05</t>
  </si>
  <si>
    <t>GPIO.
Control.</t>
  </si>
  <si>
    <t>SYS.SAFE.01
SYS.FUNC.CAM.01</t>
  </si>
  <si>
    <t>SYS.IF.HW.06</t>
  </si>
  <si>
    <t>HDMI.
A/V.</t>
  </si>
  <si>
    <t>SYS.IF.HW.08</t>
  </si>
  <si>
    <t>Power Supply Unit</t>
  </si>
  <si>
    <t>Power</t>
  </si>
  <si>
    <t>5V</t>
  </si>
  <si>
    <t>All Func</t>
  </si>
  <si>
    <t>SYS.IF.HW.09</t>
  </si>
  <si>
    <t>Operation Modes Descriptions</t>
  </si>
  <si>
    <t>Methodology</t>
  </si>
  <si>
    <t>3-Filter: identity precise states. Lifecycle -&gt; Event-Response -&gt; Failure.</t>
  </si>
  <si>
    <t>Modes</t>
  </si>
  <si>
    <t>Trigger/Entry Condition</t>
  </si>
  <si>
    <t>Observable Behavior</t>
  </si>
  <si>
    <t>Activity</t>
  </si>
  <si>
    <t>Constraints</t>
  </si>
  <si>
    <t>Next Modes</t>
  </si>
  <si>
    <t>Notes</t>
  </si>
  <si>
    <t>SYS.MODE.01</t>
  </si>
  <si>
    <t>SYS_INIT</t>
  </si>
  <si>
    <t>State initialize after powering Pi. System do self-test and initialize peripheral interfaces.</t>
  </si>
  <si>
    <t>Power Supply Unit send Power ON signal. 
Watchdog activate Reset.</t>
  </si>
  <si>
    <t>System control Relay Module and LED Module to state OFF. 
System control Display Screen to state Loading Text.</t>
  </si>
  <si>
    <t>System check physical connections to peripherals (USB Camera, Sensors, etc.).
System establish connection to internal SQLite database.</t>
  </si>
  <si>
    <t>Total time &lt; 60s. High CPU load.</t>
  </si>
  <si>
    <t>Success: INIT_DONE =&gt; Mode SYS_IDLE. Failure: INIT_FAILED =&gt; Mode SYS_ERROR.</t>
  </si>
  <si>
    <t>POST: Power-On Self-Test.</t>
  </si>
  <si>
    <t>SYS.MODE.02</t>
  </si>
  <si>
    <t>SYS_IDLE</t>
  </si>
  <si>
    <t>Normal active state, monitor environment when door is closed.</t>
  </si>
  <si>
    <t>System transition from SYS_INIT (Success). System transition from SYS_READY (Timeout 10s).</t>
  </si>
  <si>
    <t>System control Relay Module to state OFF. System control Display Screen to state Dashboard (clock, temperature, humidity).</t>
  </si>
  <si>
    <t xml:space="preserve">Sensor Manager receive environment data from SHT3x Sensor through I2C. Sensor Manager listen interrupt from Presence/Door Sensor through GPIO_In. Data Controller log env data to Database. </t>
  </si>
  <si>
    <t>Low CPU load. Response time for Door Event &lt; 200ms.</t>
  </si>
  <si>
    <t>Presence Sensor send DETECTED_USER =&gt; Mode SYS_READY. Door Sensor send DOOR_OPEN =&gt; Mode SYS_TRACKING. SHT3x send CONN_FAILED =&gt; Mode SYS_ERROR.</t>
  </si>
  <si>
    <t>SYS.FUNC.ENV.01                                              SYS.FUNC.ENV.02                 SYS.PERF.UI.01</t>
  </si>
  <si>
    <t>Run 24/7. Need to control MagicMirror2 memory leak.</t>
  </si>
  <si>
    <t>SYS.MODE.03</t>
  </si>
  <si>
    <t>SYS_READY</t>
  </si>
  <si>
    <t>Interactive state when system detected USER.</t>
  </si>
  <si>
    <t>Presence Sensor send DETECTED_USER signal through GPIO_In. System transition from SYS_UPDATE (Process Done).</t>
  </si>
  <si>
    <t>System control Display Screen to state ACTIVE (Dashboard with last known food list).</t>
  </si>
  <si>
    <t>Data Controller receive data from Database through ISQLQuery. System start timer to count to 10s.</t>
  </si>
  <si>
    <t>Response time to display full info &lt; 500ms. Medium CPU Load.</t>
  </si>
  <si>
    <t>Door Sensor send DOOR_OPEN =&gt; Mode SYS_TRACKING. Detect Timeout 10s =&gt; Mode SYS_IDLE.</t>
  </si>
  <si>
    <t>SYS.MODE.04</t>
  </si>
  <si>
    <t>SYS_SCANNING</t>
  </si>
  <si>
    <t>State when USER opens the door. System activates FRT Pipeline to continuously scan and monitor food items.</t>
  </si>
  <si>
    <t>Door Sensor send DOOR_OPEN signal through GPIO_In.</t>
  </si>
  <si>
    <t>System control Display Screen to show OPEN DOOR notification.
System control USB Camera to state ON.</t>
  </si>
  <si>
    <t>Camera Manager receive Video Data Stream from USB Camera through UVC Interface.
System activates FRT Pipeline (Motion Detection, YOLOv11 Inference, Object Tracking).</t>
  </si>
  <si>
    <t>Camera ready time &lt; 1s.
Real-time processing via CPU.
High CPU/RAM Load.</t>
  </si>
  <si>
    <t>Door Sensor send DOOR_CLOSE =&gt; Mode SYS_UPDATE.</t>
  </si>
  <si>
    <t>SYS.FUNC.CAM.01                         SYS.FUNC.AI.01</t>
  </si>
  <si>
    <t>Camera interface changed to UVC (USB Video Class).</t>
  </si>
  <si>
    <t>SYS.MODE.05</t>
  </si>
  <si>
    <t>SYS_UPDATE</t>
  </si>
  <si>
    <t>State when USER closes the door. System updates inventory and refreshes UI.</t>
  </si>
  <si>
    <t>Door Sensor send DOOR_CLOSE signal through GPIO_In.</t>
  </si>
  <si>
    <t>System control Display Screen to state Processing then update Food List. System control Camera Module to state OFF.</t>
  </si>
  <si>
    <t>Data Controller receive IFood Entry/Exit Events from AI Vision Core. Data Controller send ISQLQuery to Database to update food quantity (+1/-1). Data Controller send &lt;&lt;Socket Notification&gt;&gt; to User Interface.</t>
  </si>
  <si>
    <t>Total time from close door to display food &lt; 5s.</t>
  </si>
  <si>
    <t>Process Final: PROCESS_DONE =&gt; Mode SYS_READY. DB or UI Error: PROCESS_FAILED =&gt; Mode SYS_ERROR.</t>
  </si>
  <si>
    <t>SYS.FUNC.CAM.02                   SYS.CONST.SEC.01</t>
  </si>
  <si>
    <t>Renamed from SYS_PROCESS. Inference is already done in Mode 04.</t>
  </si>
  <si>
    <t>SYS.MODE.06</t>
  </si>
  <si>
    <t>SYS_ERROR</t>
  </si>
  <si>
    <t>State when system got errors HW/SW.</t>
  </si>
  <si>
    <t>Sensor/Camera send CONNECTION_FAILED signal. System detects Timeout/Crash. System detects CPU Temp &gt; 80C.</t>
  </si>
  <si>
    <t>System control Relay to state OFF. System control Display Screen to show Error notifications.</t>
  </si>
  <si>
    <t>System disconnect all Relay control. System log all error codes into system log file. System execute Restart service/Reboot.</t>
  </si>
  <si>
    <t>System transition to SYS_INIT after restart.</t>
  </si>
  <si>
    <t>GUIDELINE OPERATION MODE DESCRIPTION</t>
  </si>
  <si>
    <t>MODE.xx</t>
  </si>
  <si>
    <t>Mode</t>
  </si>
  <si>
    <t>Name of mode (DOOR_INTERACTION)</t>
  </si>
  <si>
    <t>Main purpose of mode</t>
  </si>
  <si>
    <t>Event/condition for transition.
Eg: [Source Element Name] send [Data/Signal] through [Interface Name].</t>
  </si>
  <si>
    <t>Actuation / HMI.
Eg: System control [Destination Element Name] to state [State] through [Interface Name].</t>
  </si>
  <si>
    <t>Activity of system in that modes. Describe Data flow between ports.
Eg: System receive data from [Input Element/Interface], process and send to [Output Element/Interface].</t>
  </si>
  <si>
    <t>resource/timing/safety constraints</t>
  </si>
  <si>
    <t>Next Mode</t>
  </si>
  <si>
    <t>exit condition and next transition</t>
  </si>
  <si>
    <t>mapping to SysR ID, Element ID, Interface ID, another …</t>
  </si>
  <si>
    <t>Các trạng thái hoạt động</t>
  </si>
  <si>
    <t>S1</t>
  </si>
  <si>
    <t>Khởi động (Boot)</t>
  </si>
  <si>
    <t>Boot, Nạp OS, start MM2 (chỉ dừng lại ở câu chào).</t>
  </si>
  <si>
    <t>S2</t>
  </si>
  <si>
    <t>Chờ (Idle)</t>
  </si>
  <si>
    <t>Đọc cảm biến nhiệt độ, độ ẩm; giám sát.</t>
  </si>
  <si>
    <t>xử lý hình ảnh =&gt;</t>
  </si>
  <si>
    <t>hiển thị đầy đủ module (gồm danh sách thực phẩm, t0, humid...) =&gt; CHỜ</t>
  </si>
  <si>
    <t>S3</t>
  </si>
  <si>
    <t>Xử lý sự kiện (Event Handler)</t>
  </si>
  <si>
    <t>- đóng cửa, mở cửa (khi 2 sự kiện cùng lúc xảy ra) =&gt;</t>
  </si>
  <si>
    <t>kích hoạt module LED =&gt;</t>
  </si>
  <si>
    <t>camera chụp hình =&gt;</t>
  </si>
  <si>
    <t>tắt module led</t>
  </si>
  <si>
    <t>- phát hiện có người tới gần (chắc chắn xảy ra) =&gt; hiển thị đầy đủ module (danh sách thực phẩm, t0, độ ẩm...)</t>
  </si>
  <si>
    <t>cả hai về chung đích</t>
  </si>
  <si>
    <t>S4</t>
  </si>
  <si>
    <t>Tắt (Off)</t>
  </si>
  <si>
    <t>S5</t>
  </si>
  <si>
    <t>Lỗi (Error Handler)</t>
  </si>
  <si>
    <t>Báo lỗi thân thiện lên màn hình, Log lỗi vô sys log</t>
  </si>
  <si>
    <t>=&gt; sequence diagram</t>
  </si>
  <si>
    <t>System Context Diagram</t>
  </si>
  <si>
    <t>UML</t>
  </si>
  <si>
    <t>SysML</t>
  </si>
  <si>
    <t>Khối xử lý trung tâm</t>
  </si>
  <si>
    <t>RPi 4</t>
  </si>
  <si>
    <t>Khối cảm biến</t>
  </si>
  <si>
    <t>sensor humidity &amp; temporature; sensor door; camera; sensor hiện diện</t>
  </si>
  <si>
    <t xml:space="preserve">Khối actuator &amp; hiển thị </t>
  </si>
  <si>
    <t>display; module LED</t>
  </si>
  <si>
    <t>Khối nguồn</t>
  </si>
  <si>
    <t>power</t>
  </si>
  <si>
    <t>CI/CD</t>
  </si>
  <si>
    <t xml:space="preserve">git </t>
  </si>
  <si>
    <t>main</t>
  </si>
  <si>
    <t>develop</t>
  </si>
  <si>
    <t>github action</t>
  </si>
  <si>
    <t>gitlab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</si>
</sst>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8"/>
      <name val="Calibri"/>
      <family val="2"/>
      <scheme val="minor"/>
    </font>
    <font>
      <u/>
      <sz val="11"/>
      <color theme="10"/>
      <name val="Calibri"/>
      <family val="2"/>
      <scheme val="minor"/>
    </font>
    <font>
      <b/>
      <sz val="11"/>
      <color theme="1"/>
      <name val="Calibri"/>
      <family val="2"/>
      <scheme val="minor"/>
    </font>
    <font>
      <b/>
      <sz val="14"/>
      <color theme="1"/>
      <name val="Calibri"/>
      <family val="2"/>
      <scheme val="minor"/>
    </font>
    <font>
      <sz val="11"/>
      <color rgb="FFC00000"/>
      <name val="Calibri"/>
      <family val="2"/>
      <scheme val="minor"/>
    </font>
    <font>
      <sz val="11"/>
      <color rgb="FF005100"/>
      <name val="Calibri"/>
      <family val="2"/>
      <scheme val="minor"/>
    </font>
    <font>
      <sz val="11"/>
      <color rgb="FFDF0000"/>
      <name val="Calibri"/>
      <family val="2"/>
      <scheme val="minor"/>
    </font>
    <font>
      <sz val="11"/>
      <color rgb="FF950000"/>
      <name val="Calibri"/>
      <family val="2"/>
      <scheme val="minor"/>
    </font>
    <font>
      <sz val="11"/>
      <color rgb="FF9E5C00"/>
      <name val="Calibri"/>
      <family val="2"/>
      <scheme val="minor"/>
    </font>
    <font>
      <b/>
      <sz val="11"/>
      <color rgb="FF005100"/>
      <name val="Calibri"/>
      <family val="2"/>
      <scheme val="minor"/>
    </font>
    <font>
      <sz val="11"/>
      <color rgb="FF632092"/>
      <name val="Calibri"/>
      <family val="2"/>
      <scheme val="minor"/>
    </font>
    <font>
      <b/>
      <sz val="11"/>
      <color rgb="FF950000"/>
      <name val="Calibri"/>
      <family val="2"/>
      <scheme val="minor"/>
    </font>
    <font>
      <sz val="11"/>
      <color rgb="FF474700"/>
      <name val="Calibri"/>
      <family val="2"/>
      <scheme val="minor"/>
    </font>
    <font>
      <sz val="11"/>
      <color rgb="FF000000"/>
      <name val="Calibri"/>
      <charset val="1"/>
    </font>
    <font>
      <sz val="11"/>
      <color rgb="FF000000"/>
      <name val="Calibri"/>
      <scheme val="minor"/>
    </font>
    <font>
      <sz val="11"/>
      <color rgb="FFC00000"/>
      <name val="Calibri"/>
      <scheme val="minor"/>
    </font>
    <font>
      <sz val="11"/>
      <color theme="1"/>
      <name val="Calibri"/>
      <scheme val="minor"/>
    </font>
    <font>
      <i/>
      <sz val="11"/>
      <color theme="1"/>
      <name val="Calibri"/>
      <family val="2"/>
      <scheme val="minor"/>
    </font>
    <font>
      <sz val="11"/>
      <name val="Calibri"/>
      <family val="2"/>
      <scheme val="minor"/>
    </font>
    <font>
      <strike/>
      <sz val="11"/>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A3DB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2" fillId="0" borderId="0" applyNumberFormat="0" applyFill="0" applyBorder="0" applyAlignment="0" applyProtection="0"/>
  </cellStyleXfs>
  <cellXfs count="10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3" fillId="0" borderId="0" xfId="0" applyFont="1"/>
    <xf numFmtId="0" fontId="3" fillId="0" borderId="0" xfId="0" applyFont="1" applyAlignment="1">
      <alignment vertical="top"/>
    </xf>
    <xf numFmtId="0" fontId="0" fillId="2" borderId="1" xfId="0" applyFill="1" applyBorder="1" applyAlignment="1">
      <alignment vertical="top" wrapText="1"/>
    </xf>
    <xf numFmtId="0" fontId="3" fillId="2" borderId="1" xfId="0" applyFont="1" applyFill="1" applyBorder="1" applyAlignment="1">
      <alignment vertical="top" wrapText="1"/>
    </xf>
    <xf numFmtId="0" fontId="0" fillId="2" borderId="1" xfId="0" quotePrefix="1" applyFill="1" applyBorder="1" applyAlignment="1">
      <alignment vertical="top" wrapText="1"/>
    </xf>
    <xf numFmtId="0" fontId="4" fillId="0" borderId="0" xfId="0" applyFont="1"/>
    <xf numFmtId="0" fontId="3" fillId="4" borderId="1" xfId="0" applyFont="1" applyFill="1" applyBorder="1" applyAlignment="1">
      <alignment vertical="top"/>
    </xf>
    <xf numFmtId="0" fontId="0" fillId="3" borderId="1" xfId="0" applyFill="1" applyBorder="1" applyAlignment="1">
      <alignment vertical="top" wrapText="1"/>
    </xf>
    <xf numFmtId="0" fontId="0" fillId="3" borderId="1" xfId="0" applyFill="1" applyBorder="1" applyAlignment="1">
      <alignment vertical="top"/>
    </xf>
    <xf numFmtId="0" fontId="2" fillId="2" borderId="1" xfId="1" applyFill="1" applyBorder="1" applyAlignment="1">
      <alignment vertical="top" wrapText="1"/>
    </xf>
    <xf numFmtId="0" fontId="8" fillId="2" borderId="1" xfId="0" applyFont="1" applyFill="1" applyBorder="1" applyAlignment="1">
      <alignment vertical="top" wrapText="1"/>
    </xf>
    <xf numFmtId="0" fontId="6" fillId="2" borderId="1" xfId="0" applyFont="1" applyFill="1" applyBorder="1" applyAlignment="1">
      <alignment vertical="top" wrapText="1"/>
    </xf>
    <xf numFmtId="0" fontId="3" fillId="2" borderId="1" xfId="0" applyFont="1" applyFill="1" applyBorder="1" applyAlignment="1">
      <alignment vertical="top"/>
    </xf>
    <xf numFmtId="0" fontId="0" fillId="2" borderId="2" xfId="0" applyFill="1" applyBorder="1" applyAlignment="1">
      <alignment vertical="top" wrapText="1"/>
    </xf>
    <xf numFmtId="0" fontId="3" fillId="2" borderId="3" xfId="0" applyFont="1" applyFill="1" applyBorder="1" applyAlignment="1">
      <alignment vertical="top" wrapText="1"/>
    </xf>
    <xf numFmtId="0" fontId="0" fillId="2" borderId="4" xfId="0" applyFill="1" applyBorder="1" applyAlignment="1">
      <alignment vertical="top" wrapText="1"/>
    </xf>
    <xf numFmtId="0" fontId="8" fillId="2" borderId="4" xfId="0" applyFont="1" applyFill="1" applyBorder="1" applyAlignment="1">
      <alignment vertical="top" wrapText="1"/>
    </xf>
    <xf numFmtId="0" fontId="3" fillId="2" borderId="2" xfId="0" applyFont="1" applyFill="1" applyBorder="1" applyAlignment="1">
      <alignment vertical="top"/>
    </xf>
    <xf numFmtId="0" fontId="0" fillId="2" borderId="5" xfId="0" applyFill="1" applyBorder="1" applyAlignment="1">
      <alignment vertical="top"/>
    </xf>
    <xf numFmtId="0" fontId="8" fillId="2" borderId="5" xfId="0" applyFont="1" applyFill="1" applyBorder="1" applyAlignment="1">
      <alignment vertical="top"/>
    </xf>
    <xf numFmtId="0" fontId="0" fillId="2" borderId="6" xfId="0" applyFill="1" applyBorder="1" applyAlignment="1">
      <alignment vertical="top"/>
    </xf>
    <xf numFmtId="0" fontId="0" fillId="2" borderId="3" xfId="0" applyFill="1" applyBorder="1" applyAlignment="1">
      <alignment vertical="top" wrapText="1"/>
    </xf>
    <xf numFmtId="0" fontId="8" fillId="2" borderId="3" xfId="0" applyFont="1" applyFill="1" applyBorder="1" applyAlignment="1">
      <alignment vertical="top" wrapText="1"/>
    </xf>
    <xf numFmtId="0" fontId="6" fillId="2" borderId="4" xfId="0" applyFont="1" applyFill="1" applyBorder="1" applyAlignment="1">
      <alignment vertical="top" wrapText="1"/>
    </xf>
    <xf numFmtId="0" fontId="0" fillId="2" borderId="5" xfId="0" applyFill="1" applyBorder="1" applyAlignment="1">
      <alignment vertical="top" wrapText="1"/>
    </xf>
    <xf numFmtId="0" fontId="8" fillId="2" borderId="5" xfId="0" applyFont="1" applyFill="1" applyBorder="1" applyAlignment="1">
      <alignment vertical="top" wrapText="1"/>
    </xf>
    <xf numFmtId="0" fontId="0" fillId="2" borderId="6" xfId="0" applyFill="1" applyBorder="1" applyAlignment="1">
      <alignment vertical="top" wrapText="1"/>
    </xf>
    <xf numFmtId="0" fontId="0" fillId="2" borderId="8" xfId="0" applyFill="1" applyBorder="1" applyAlignment="1">
      <alignment vertical="top" wrapText="1"/>
    </xf>
    <xf numFmtId="0" fontId="8" fillId="2" borderId="8" xfId="0" applyFont="1" applyFill="1" applyBorder="1" applyAlignment="1">
      <alignment vertical="top" wrapText="1"/>
    </xf>
    <xf numFmtId="0" fontId="3" fillId="2" borderId="7" xfId="0" applyFont="1" applyFill="1" applyBorder="1" applyAlignment="1">
      <alignment vertical="top" wrapText="1"/>
    </xf>
    <xf numFmtId="0" fontId="0" fillId="2" borderId="9" xfId="0" applyFill="1" applyBorder="1" applyAlignment="1">
      <alignment vertical="top" wrapText="1"/>
    </xf>
    <xf numFmtId="0" fontId="6" fillId="2" borderId="9" xfId="0" applyFont="1" applyFill="1" applyBorder="1" applyAlignment="1">
      <alignment vertical="top" wrapText="1"/>
    </xf>
    <xf numFmtId="0" fontId="6" fillId="2" borderId="5" xfId="0" applyFont="1" applyFill="1" applyBorder="1" applyAlignment="1">
      <alignment vertical="top" wrapText="1"/>
    </xf>
    <xf numFmtId="0" fontId="11" fillId="2" borderId="4" xfId="0" applyFont="1" applyFill="1" applyBorder="1" applyAlignment="1">
      <alignment vertical="top" wrapText="1"/>
    </xf>
    <xf numFmtId="0" fontId="11" fillId="2" borderId="1" xfId="0" applyFont="1" applyFill="1" applyBorder="1" applyAlignment="1">
      <alignment vertical="top" wrapText="1"/>
    </xf>
    <xf numFmtId="0" fontId="9" fillId="2" borderId="1" xfId="0" applyFont="1" applyFill="1" applyBorder="1" applyAlignment="1">
      <alignment wrapText="1"/>
    </xf>
    <xf numFmtId="0" fontId="0" fillId="2" borderId="1" xfId="0" applyFill="1" applyBorder="1"/>
    <xf numFmtId="0" fontId="9" fillId="2" borderId="1" xfId="0" applyFont="1" applyFill="1" applyBorder="1" applyAlignment="1">
      <alignment vertical="top" wrapText="1"/>
    </xf>
    <xf numFmtId="0" fontId="13" fillId="2" borderId="1" xfId="0" applyFont="1" applyFill="1" applyBorder="1" applyAlignment="1">
      <alignment vertical="top" wrapText="1"/>
    </xf>
    <xf numFmtId="0" fontId="0" fillId="0" borderId="0" xfId="0" quotePrefix="1"/>
    <xf numFmtId="0" fontId="14" fillId="0" borderId="0" xfId="0" quotePrefix="1" applyFont="1"/>
    <xf numFmtId="0" fontId="17" fillId="2" borderId="1" xfId="0" applyFont="1" applyFill="1" applyBorder="1" applyAlignment="1">
      <alignment vertical="top" wrapText="1"/>
    </xf>
    <xf numFmtId="0" fontId="0" fillId="0" borderId="0" xfId="0" applyAlignment="1">
      <alignment horizontal="center"/>
    </xf>
    <xf numFmtId="0" fontId="0" fillId="2" borderId="10" xfId="0" applyFill="1" applyBorder="1" applyAlignment="1">
      <alignment vertical="top" wrapText="1"/>
    </xf>
    <xf numFmtId="0" fontId="0" fillId="2" borderId="7" xfId="0" applyFill="1" applyBorder="1" applyAlignment="1">
      <alignment vertical="top" wrapText="1"/>
    </xf>
    <xf numFmtId="0" fontId="0" fillId="2" borderId="11" xfId="0" applyFill="1" applyBorder="1" applyAlignment="1">
      <alignment vertical="top" wrapText="1"/>
    </xf>
    <xf numFmtId="0" fontId="12" fillId="0" borderId="0" xfId="0" applyFont="1"/>
    <xf numFmtId="0" fontId="3" fillId="0" borderId="0" xfId="0" applyFont="1" applyAlignment="1">
      <alignment wrapText="1"/>
    </xf>
    <xf numFmtId="0" fontId="0" fillId="0" borderId="0" xfId="0" quotePrefix="1" applyAlignment="1">
      <alignment vertical="top" wrapText="1"/>
    </xf>
    <xf numFmtId="0" fontId="18" fillId="0" borderId="0" xfId="0" applyFont="1" applyAlignment="1">
      <alignment vertical="top" wrapText="1"/>
    </xf>
    <xf numFmtId="0" fontId="3" fillId="0" borderId="0" xfId="0" applyFont="1" applyAlignment="1">
      <alignment vertical="top" wrapText="1"/>
    </xf>
    <xf numFmtId="0" fontId="19" fillId="2" borderId="4" xfId="0" applyFont="1" applyFill="1" applyBorder="1" applyAlignment="1">
      <alignment vertical="top" wrapText="1"/>
    </xf>
    <xf numFmtId="0" fontId="19" fillId="2" borderId="1" xfId="0" applyFont="1" applyFill="1" applyBorder="1" applyAlignment="1">
      <alignment vertical="top" wrapText="1"/>
    </xf>
    <xf numFmtId="0" fontId="19" fillId="2" borderId="3" xfId="0" applyFont="1" applyFill="1" applyBorder="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3" fillId="0" borderId="0" xfId="0" applyFont="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horizontal="center" vertical="top"/>
    </xf>
    <xf numFmtId="0" fontId="0" fillId="0" borderId="5" xfId="0" applyBorder="1" applyAlignment="1">
      <alignment vertical="top" wrapText="1"/>
    </xf>
    <xf numFmtId="0" fontId="3" fillId="0" borderId="6" xfId="0" applyFont="1" applyBorder="1" applyAlignment="1">
      <alignment vertical="top" wrapText="1"/>
    </xf>
    <xf numFmtId="0" fontId="0" fillId="0" borderId="6" xfId="0" applyBorder="1" applyAlignment="1">
      <alignment vertical="top" wrapText="1"/>
    </xf>
    <xf numFmtId="0" fontId="3" fillId="0" borderId="12" xfId="0" applyFont="1" applyBorder="1" applyAlignment="1">
      <alignment horizontal="center" vertical="top" wrapText="1"/>
    </xf>
    <xf numFmtId="0" fontId="3" fillId="0" borderId="12" xfId="0" applyFont="1" applyBorder="1" applyAlignment="1">
      <alignment horizontal="center" vertical="top"/>
    </xf>
    <xf numFmtId="0" fontId="3" fillId="0" borderId="13" xfId="0" applyFont="1" applyBorder="1" applyAlignment="1">
      <alignment horizontal="center" vertical="top" wrapText="1"/>
    </xf>
    <xf numFmtId="0" fontId="0" fillId="0" borderId="5" xfId="0" applyBorder="1" applyAlignment="1">
      <alignment vertical="top"/>
    </xf>
    <xf numFmtId="0" fontId="3" fillId="0" borderId="12" xfId="0" applyFont="1" applyBorder="1" applyAlignment="1">
      <alignment horizontal="center" wrapText="1"/>
    </xf>
    <xf numFmtId="0" fontId="0" fillId="0" borderId="5" xfId="0" quotePrefix="1" applyBorder="1" applyAlignment="1">
      <alignment horizontal="left" vertical="top"/>
    </xf>
    <xf numFmtId="0" fontId="0" fillId="0" borderId="5" xfId="0" quotePrefix="1" applyBorder="1" applyAlignment="1">
      <alignment horizontal="left" vertical="top" wrapText="1"/>
    </xf>
    <xf numFmtId="0" fontId="0" fillId="0" borderId="5" xfId="0" quotePrefix="1" applyBorder="1" applyAlignment="1">
      <alignment vertical="top" wrapText="1"/>
    </xf>
    <xf numFmtId="0" fontId="18" fillId="0" borderId="5" xfId="0" applyFont="1" applyBorder="1" applyAlignment="1">
      <alignment horizontal="center" vertical="top"/>
    </xf>
    <xf numFmtId="0" fontId="0" fillId="0" borderId="5" xfId="0" applyBorder="1" applyAlignment="1">
      <alignment horizontal="left" vertical="top" wrapText="1"/>
    </xf>
    <xf numFmtId="0" fontId="0" fillId="5" borderId="0" xfId="0" quotePrefix="1" applyFill="1"/>
    <xf numFmtId="0" fontId="0" fillId="6" borderId="0" xfId="0" quotePrefix="1" applyFill="1"/>
    <xf numFmtId="0" fontId="3" fillId="0" borderId="0" xfId="0" applyFont="1" applyAlignment="1">
      <alignment horizontal="center" vertical="top"/>
    </xf>
    <xf numFmtId="0" fontId="18" fillId="0" borderId="0" xfId="0" applyFont="1"/>
    <xf numFmtId="0" fontId="0" fillId="0" borderId="5" xfId="0" applyBorder="1" applyAlignment="1">
      <alignment horizontal="left" vertical="top"/>
    </xf>
    <xf numFmtId="0" fontId="3"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horizontal="center" vertical="center"/>
    </xf>
    <xf numFmtId="0" fontId="0" fillId="0" borderId="0" xfId="0" applyAlignment="1">
      <alignment horizontal="left" vertical="center" wrapText="1"/>
    </xf>
    <xf numFmtId="0" fontId="17" fillId="0" borderId="14" xfId="0" applyFont="1" applyBorder="1" applyAlignment="1">
      <alignment horizontal="center" vertical="top" wrapText="1" readingOrder="1"/>
    </xf>
    <xf numFmtId="0" fontId="17" fillId="0" borderId="15" xfId="0" applyFont="1" applyBorder="1" applyAlignment="1">
      <alignment horizontal="center" vertical="top" wrapText="1" readingOrder="1"/>
    </xf>
    <xf numFmtId="0" fontId="17" fillId="0" borderId="15" xfId="0" applyFont="1" applyBorder="1" applyAlignment="1">
      <alignment vertical="top" wrapText="1" readingOrder="1"/>
    </xf>
    <xf numFmtId="0" fontId="17" fillId="0" borderId="16" xfId="0" applyFont="1" applyBorder="1" applyAlignment="1">
      <alignment vertical="top" wrapText="1" readingOrder="1"/>
    </xf>
    <xf numFmtId="0" fontId="17" fillId="0" borderId="17" xfId="0" applyFont="1" applyBorder="1" applyAlignment="1">
      <alignment horizontal="center" vertical="top" wrapText="1" readingOrder="1"/>
    </xf>
    <xf numFmtId="0" fontId="17" fillId="0" borderId="18" xfId="0" applyFont="1" applyBorder="1" applyAlignment="1">
      <alignment horizontal="center" vertical="top" wrapText="1" readingOrder="1"/>
    </xf>
    <xf numFmtId="0" fontId="17" fillId="0" borderId="18" xfId="0" applyFont="1" applyBorder="1" applyAlignment="1">
      <alignment vertical="top" wrapText="1" readingOrder="1"/>
    </xf>
    <xf numFmtId="0" fontId="17" fillId="0" borderId="19" xfId="0" applyFont="1" applyBorder="1" applyAlignment="1">
      <alignment vertical="top" wrapText="1" readingOrder="1"/>
    </xf>
    <xf numFmtId="0" fontId="17" fillId="0" borderId="20" xfId="0" applyFont="1" applyBorder="1" applyAlignment="1">
      <alignment horizontal="center" vertical="top" wrapText="1" readingOrder="1"/>
    </xf>
    <xf numFmtId="0" fontId="17" fillId="0" borderId="21" xfId="0" applyFont="1" applyBorder="1" applyAlignment="1">
      <alignment horizontal="center" vertical="top" wrapText="1" readingOrder="1"/>
    </xf>
    <xf numFmtId="0" fontId="17" fillId="0" borderId="21" xfId="0" applyFont="1" applyBorder="1" applyAlignment="1">
      <alignment vertical="top" wrapText="1" readingOrder="1"/>
    </xf>
    <xf numFmtId="0" fontId="17" fillId="0" borderId="22" xfId="0" applyFont="1" applyBorder="1" applyAlignment="1">
      <alignment vertical="top" wrapText="1" readingOrder="1"/>
    </xf>
    <xf numFmtId="0" fontId="0" fillId="0" borderId="1" xfId="0" applyBorder="1" applyAlignment="1">
      <alignment horizontal="center"/>
    </xf>
    <xf numFmtId="0" fontId="15" fillId="0" borderId="0" xfId="0" applyFont="1" applyAlignment="1">
      <alignment horizontal="center" vertical="top"/>
    </xf>
    <xf numFmtId="0" fontId="0" fillId="0" borderId="0" xfId="0" applyFont="1" applyAlignment="1">
      <alignment horizontal="center" vertical="top"/>
    </xf>
    <xf numFmtId="0" fontId="0" fillId="0" borderId="0" xfId="0" applyFont="1" applyAlignment="1">
      <alignment horizontal="left" vertical="top" wrapText="1"/>
    </xf>
    <xf numFmtId="0" fontId="20" fillId="0" borderId="5" xfId="0" applyFont="1" applyBorder="1" applyAlignment="1">
      <alignment horizontal="center" vertical="top" wrapText="1"/>
    </xf>
    <xf numFmtId="0" fontId="20" fillId="0" borderId="5" xfId="0" applyFont="1" applyBorder="1" applyAlignment="1">
      <alignment vertical="top" wrapText="1"/>
    </xf>
    <xf numFmtId="0" fontId="20" fillId="0" borderId="6" xfId="0" applyFont="1" applyBorder="1" applyAlignment="1">
      <alignment vertical="top" wrapText="1"/>
    </xf>
    <xf numFmtId="0" fontId="15" fillId="0" borderId="0" xfId="0" applyFont="1" applyAlignment="1">
      <alignment horizontal="left" vertical="top"/>
    </xf>
    <xf numFmtId="0" fontId="15" fillId="0" borderId="0" xfId="0" applyFont="1" applyAlignment="1">
      <alignment horizontal="left" vertical="top" wrapText="1"/>
    </xf>
  </cellXfs>
  <cellStyles count="2">
    <cellStyle name="Hyperlink" xfId="1" builtinId="8"/>
    <cellStyle name="Normal" xfId="0" builtinId="0"/>
  </cellStyles>
  <dxfs count="15">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20</xdr:col>
      <xdr:colOff>457200</xdr:colOff>
      <xdr:row>12</xdr:row>
      <xdr:rowOff>309008</xdr:rowOff>
    </xdr:to>
    <xdr:pic>
      <xdr:nvPicPr>
        <xdr:cNvPr id="3" name="Picture 2">
          <a:extLst>
            <a:ext uri="{FF2B5EF4-FFF2-40B4-BE49-F238E27FC236}">
              <a16:creationId xmlns:a16="http://schemas.microsoft.com/office/drawing/2014/main" id="{0C0DF069-3854-DD1D-B74E-59C4E5CD45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571500"/>
          <a:ext cx="7772400" cy="4338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14</xdr:col>
      <xdr:colOff>22411</xdr:colOff>
      <xdr:row>11</xdr:row>
      <xdr:rowOff>288226</xdr:rowOff>
    </xdr:to>
    <xdr:pic>
      <xdr:nvPicPr>
        <xdr:cNvPr id="2" name="Picture 1">
          <a:extLst>
            <a:ext uri="{FF2B5EF4-FFF2-40B4-BE49-F238E27FC236}">
              <a16:creationId xmlns:a16="http://schemas.microsoft.com/office/drawing/2014/main" id="{0F9910CF-3E00-45CB-8450-6DAFA49998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6941" y="952500"/>
          <a:ext cx="4258235" cy="23932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rương Ân Điển" id="{60FFCB9A-8686-4664-B869-F7DF8DDFBAF6}" userId="S::22520247@ms.uit.edu.vn::e1b41d40-4175-49c0-85c8-6f2a2011fe85" providerId="AD"/>
  <person displayName="Nguyễn Lê Thanh Hiển" id="{79F45B50-C044-4C47-97BA-C8D761E11968}" userId="S::22520418@ms.uit.edu.vn::5cfc2df9-109a-4256-b314-ca7d94637b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0" dT="2026-01-21T16:33:41.13" personId="{79F45B50-C044-4C47-97BA-C8D761E11968}" id="{C5C1827D-8F25-4A16-88DB-F11FD6F5ED9A}" done="1">
    <text>Nên bỏ dùng PyQt vì không liên quan đến magicmirror, đặc biệt khi đây chỉ dùng CSS/JS để thiết kế &amp; xử ly logic</text>
  </threadedComment>
  <threadedComment ref="B63" dT="2026-01-21T16:04:02.62" personId="{79F45B50-C044-4C47-97BA-C8D761E11968}" id="{82E0623C-0C3C-4554-9593-93AB37886C3C}" done="1">
    <text>Có thể cân nhắc thêm yêu cầu này</text>
  </threadedComment>
  <threadedComment ref="B63" dT="2026-01-21T19:01:04.29" personId="{60FFCB9A-8686-4664-B869-F7DF8DDFBAF6}" id="{FFBC3423-F3B4-40FC-9615-50997CC32D52}" parentId="{82E0623C-0C3C-4554-9593-93AB37886C3C}">
    <text>đã thêm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3F8171-E0B1-4499-B1AF-2484141260EF}">
  <we:reference id="wa200001095" version="1.0.0.4" store="en-US" storeType="OMEX"/>
  <we:alternateReferences>
    <we:reference id="WA200001095" version="1.0.0.4" store="WA200001095" storeType="OMEX"/>
  </we:alternateReferences>
  <we:properties>
    <we:property name="Office.AutoShowTaskpaneWithDocument" value="false"/>
    <we:property name="gantt_start" value="&quot;2026-01-28T00:00&quot;"/>
    <we:property name="version" value="&quot;2.0&quot;"/>
    <we:property name="gantt_zoom" value="0"/>
    <we:property name="progress_column" value="false"/>
    <we:property name="progress_gantt" value="false"/>
    <we:property name="critical_gantt" value="false"/>
    <we:property name="slack_gantt" value="fals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mAP@0.5%20%3e%200.7" TargetMode="Externa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
  <sheetViews>
    <sheetView topLeftCell="A50" zoomScale="85" zoomScaleNormal="85" workbookViewId="0">
      <selection activeCell="D6" sqref="D6"/>
    </sheetView>
  </sheetViews>
  <sheetFormatPr defaultRowHeight="15"/>
  <cols>
    <col min="2" max="2" width="20.5703125" style="1" customWidth="1"/>
    <col min="3" max="3" width="20.7109375" style="1" customWidth="1"/>
    <col min="4" max="5" width="50.7109375" style="1" customWidth="1"/>
    <col min="6" max="6" width="20.42578125" style="2" customWidth="1"/>
    <col min="7" max="7" width="20.7109375" style="1" customWidth="1"/>
    <col min="8" max="8" width="38.5703125" style="1" customWidth="1"/>
    <col min="9" max="9" width="40.85546875" customWidth="1"/>
    <col min="10" max="10" width="20.7109375" customWidth="1"/>
    <col min="13" max="13" width="26.5703125" customWidth="1"/>
  </cols>
  <sheetData>
    <row r="1" spans="1:10">
      <c r="B1" s="1" t="s">
        <v>0</v>
      </c>
      <c r="C1" s="1" t="s">
        <v>1</v>
      </c>
    </row>
    <row r="2" spans="1:10" ht="18.75">
      <c r="B2" s="9" t="s">
        <v>2</v>
      </c>
    </row>
    <row r="3" spans="1:10">
      <c r="B3" t="s">
        <v>3</v>
      </c>
      <c r="I3" s="1"/>
      <c r="J3" s="1"/>
    </row>
    <row r="4" spans="1:10">
      <c r="B4" t="s">
        <v>4</v>
      </c>
      <c r="I4" s="1"/>
      <c r="J4" s="1"/>
    </row>
    <row r="5" spans="1:10">
      <c r="B5" t="s">
        <v>5</v>
      </c>
    </row>
    <row r="6" spans="1:10">
      <c r="B6" s="4" t="s">
        <v>6</v>
      </c>
    </row>
    <row r="7" spans="1:10">
      <c r="B7" t="s">
        <v>7</v>
      </c>
    </row>
    <row r="8" spans="1:10">
      <c r="A8" s="7" t="s">
        <v>8</v>
      </c>
      <c r="B8" s="7" t="s">
        <v>9</v>
      </c>
      <c r="C8" s="18" t="s">
        <v>10</v>
      </c>
      <c r="D8" s="18" t="s">
        <v>11</v>
      </c>
      <c r="E8" s="18" t="s">
        <v>12</v>
      </c>
      <c r="F8" s="18" t="s">
        <v>13</v>
      </c>
      <c r="G8" s="18" t="s">
        <v>14</v>
      </c>
      <c r="H8" s="18" t="s">
        <v>15</v>
      </c>
    </row>
    <row r="9" spans="1:10">
      <c r="A9" s="17"/>
      <c r="B9" s="17"/>
      <c r="C9" s="21" t="s">
        <v>16</v>
      </c>
      <c r="D9" s="22"/>
      <c r="E9" s="23"/>
      <c r="F9" s="23"/>
      <c r="G9" s="22"/>
      <c r="H9" s="24"/>
    </row>
    <row r="10" spans="1:10" ht="45">
      <c r="A10" s="17">
        <v>1</v>
      </c>
      <c r="B10" s="6" t="s">
        <v>17</v>
      </c>
      <c r="C10" s="19" t="s">
        <v>18</v>
      </c>
      <c r="D10" s="19" t="s">
        <v>19</v>
      </c>
      <c r="E10" s="20" t="s">
        <v>20</v>
      </c>
      <c r="F10" s="20" t="s">
        <v>21</v>
      </c>
      <c r="G10" s="19" t="s">
        <v>22</v>
      </c>
      <c r="H10" s="19" t="s">
        <v>23</v>
      </c>
    </row>
    <row r="11" spans="1:10" ht="30">
      <c r="A11" s="17">
        <v>2</v>
      </c>
      <c r="B11" s="6" t="s">
        <v>24</v>
      </c>
      <c r="C11" s="6" t="s">
        <v>25</v>
      </c>
      <c r="D11" s="6" t="s">
        <v>26</v>
      </c>
      <c r="E11" s="14" t="s">
        <v>27</v>
      </c>
      <c r="F11" s="14" t="s">
        <v>28</v>
      </c>
      <c r="G11" s="6" t="s">
        <v>22</v>
      </c>
      <c r="H11" s="6" t="s">
        <v>29</v>
      </c>
    </row>
    <row r="12" spans="1:10" ht="30">
      <c r="A12" s="17">
        <v>3</v>
      </c>
      <c r="B12" s="6" t="s">
        <v>30</v>
      </c>
      <c r="C12" s="6" t="s">
        <v>31</v>
      </c>
      <c r="D12" s="6" t="s">
        <v>32</v>
      </c>
      <c r="E12" s="14" t="s">
        <v>27</v>
      </c>
      <c r="F12" s="20" t="s">
        <v>33</v>
      </c>
      <c r="G12" s="19" t="s">
        <v>22</v>
      </c>
      <c r="H12" s="19" t="s">
        <v>34</v>
      </c>
    </row>
    <row r="13" spans="1:10" ht="30">
      <c r="A13" s="17">
        <v>4</v>
      </c>
      <c r="B13" s="6" t="s">
        <v>35</v>
      </c>
      <c r="C13" s="25" t="s">
        <v>36</v>
      </c>
      <c r="D13" s="25" t="s">
        <v>37</v>
      </c>
      <c r="E13" s="26" t="s">
        <v>27</v>
      </c>
      <c r="F13" s="26" t="s">
        <v>33</v>
      </c>
      <c r="G13" s="6" t="s">
        <v>22</v>
      </c>
      <c r="H13" s="19" t="s">
        <v>34</v>
      </c>
    </row>
    <row r="14" spans="1:10">
      <c r="A14" s="17"/>
      <c r="B14" s="17"/>
      <c r="C14" s="33" t="s">
        <v>38</v>
      </c>
      <c r="D14" s="31"/>
      <c r="E14" s="32"/>
      <c r="F14" s="32"/>
      <c r="G14" s="28"/>
      <c r="H14" s="30"/>
    </row>
    <row r="15" spans="1:10" ht="45">
      <c r="A15" s="17">
        <v>5</v>
      </c>
      <c r="B15" s="17" t="s">
        <v>39</v>
      </c>
      <c r="C15" s="6" t="s">
        <v>40</v>
      </c>
      <c r="D15" s="6" t="s">
        <v>41</v>
      </c>
      <c r="E15" s="15" t="s">
        <v>42</v>
      </c>
      <c r="F15" s="38" t="s">
        <v>21</v>
      </c>
      <c r="G15" s="6" t="s">
        <v>22</v>
      </c>
      <c r="H15" s="14" t="s">
        <v>43</v>
      </c>
    </row>
    <row r="16" spans="1:10" ht="30">
      <c r="A16" s="17">
        <v>6</v>
      </c>
      <c r="B16" s="17" t="s">
        <v>44</v>
      </c>
      <c r="C16" s="6" t="s">
        <v>45</v>
      </c>
      <c r="D16" s="6" t="s">
        <v>46</v>
      </c>
      <c r="E16" s="14"/>
      <c r="F16" s="14" t="s">
        <v>21</v>
      </c>
      <c r="G16" s="6" t="s">
        <v>22</v>
      </c>
      <c r="H16" s="6" t="s">
        <v>47</v>
      </c>
    </row>
    <row r="17" spans="1:12" ht="30">
      <c r="A17" s="17">
        <v>7</v>
      </c>
      <c r="B17" s="17" t="s">
        <v>48</v>
      </c>
      <c r="C17" s="6" t="s">
        <v>49</v>
      </c>
      <c r="D17" s="6" t="s">
        <v>50</v>
      </c>
      <c r="E17" s="14"/>
      <c r="F17" s="14" t="s">
        <v>21</v>
      </c>
      <c r="G17" s="6" t="s">
        <v>22</v>
      </c>
      <c r="H17" s="6" t="s">
        <v>51</v>
      </c>
    </row>
    <row r="18" spans="1:12" ht="30">
      <c r="A18" s="17">
        <v>8</v>
      </c>
      <c r="B18" s="17" t="s">
        <v>52</v>
      </c>
      <c r="C18" s="6" t="s">
        <v>53</v>
      </c>
      <c r="D18" s="6" t="s">
        <v>54</v>
      </c>
      <c r="E18" s="14"/>
      <c r="F18" s="14" t="s">
        <v>21</v>
      </c>
      <c r="G18" s="6" t="s">
        <v>22</v>
      </c>
      <c r="H18" s="6" t="s">
        <v>55</v>
      </c>
    </row>
    <row r="19" spans="1:12">
      <c r="A19" s="17"/>
      <c r="B19" s="17"/>
      <c r="C19" s="21" t="s">
        <v>56</v>
      </c>
      <c r="D19" s="28"/>
      <c r="E19" s="29"/>
      <c r="F19" s="29"/>
      <c r="G19" s="28"/>
      <c r="H19" s="30"/>
    </row>
    <row r="20" spans="1:12" ht="45">
      <c r="A20" s="17">
        <v>9</v>
      </c>
      <c r="B20" s="17" t="s">
        <v>57</v>
      </c>
      <c r="C20" s="19" t="s">
        <v>58</v>
      </c>
      <c r="D20" s="19" t="s">
        <v>59</v>
      </c>
      <c r="E20" s="27" t="s">
        <v>60</v>
      </c>
      <c r="F20" s="27" t="s">
        <v>28</v>
      </c>
      <c r="G20" s="19" t="s">
        <v>22</v>
      </c>
      <c r="H20" s="19" t="s">
        <v>61</v>
      </c>
    </row>
    <row r="21" spans="1:12" ht="30">
      <c r="A21" s="17">
        <v>10</v>
      </c>
      <c r="B21" s="17" t="s">
        <v>62</v>
      </c>
      <c r="C21" s="19" t="s">
        <v>63</v>
      </c>
      <c r="D21" s="19" t="s">
        <v>64</v>
      </c>
      <c r="E21" s="27" t="s">
        <v>65</v>
      </c>
      <c r="F21" s="27" t="s">
        <v>28</v>
      </c>
      <c r="G21" s="19" t="s">
        <v>66</v>
      </c>
      <c r="H21" s="19" t="s">
        <v>67</v>
      </c>
    </row>
    <row r="22" spans="1:12" ht="30">
      <c r="A22" s="17">
        <v>11</v>
      </c>
      <c r="B22" s="17" t="s">
        <v>68</v>
      </c>
      <c r="C22" s="19" t="s">
        <v>69</v>
      </c>
      <c r="D22" s="19" t="s">
        <v>70</v>
      </c>
      <c r="E22" s="27" t="s">
        <v>71</v>
      </c>
      <c r="F22" s="27" t="s">
        <v>28</v>
      </c>
      <c r="G22" s="19" t="s">
        <v>66</v>
      </c>
      <c r="H22" s="19" t="s">
        <v>72</v>
      </c>
    </row>
    <row r="23" spans="1:12" ht="45">
      <c r="A23" s="17">
        <v>12</v>
      </c>
      <c r="B23" s="17" t="s">
        <v>73</v>
      </c>
      <c r="C23" s="19" t="s">
        <v>74</v>
      </c>
      <c r="D23" s="19" t="s">
        <v>75</v>
      </c>
      <c r="E23" s="27" t="s">
        <v>76</v>
      </c>
      <c r="F23" s="27" t="s">
        <v>33</v>
      </c>
      <c r="G23" s="19" t="s">
        <v>66</v>
      </c>
      <c r="H23" s="19"/>
    </row>
    <row r="24" spans="1:12" ht="45">
      <c r="A24" s="17">
        <v>13</v>
      </c>
      <c r="B24" s="17" t="s">
        <v>77</v>
      </c>
      <c r="C24" s="19" t="s">
        <v>78</v>
      </c>
      <c r="D24" s="19" t="s">
        <v>79</v>
      </c>
      <c r="E24" s="27" t="s">
        <v>80</v>
      </c>
      <c r="F24" s="27" t="s">
        <v>33</v>
      </c>
      <c r="G24" s="19" t="s">
        <v>81</v>
      </c>
      <c r="H24" s="19"/>
    </row>
    <row r="25" spans="1:12" ht="30">
      <c r="A25" s="17">
        <v>14</v>
      </c>
      <c r="B25" s="17" t="s">
        <v>82</v>
      </c>
      <c r="C25" s="34" t="s">
        <v>83</v>
      </c>
      <c r="D25" s="34" t="s">
        <v>84</v>
      </c>
      <c r="E25" s="35" t="s">
        <v>85</v>
      </c>
      <c r="F25" s="35" t="s">
        <v>33</v>
      </c>
      <c r="G25" s="34" t="s">
        <v>81</v>
      </c>
      <c r="H25" s="34"/>
    </row>
    <row r="26" spans="1:12">
      <c r="A26" s="17"/>
      <c r="B26" s="17"/>
      <c r="C26" s="21" t="s">
        <v>86</v>
      </c>
      <c r="D26" s="28"/>
      <c r="E26" s="29"/>
      <c r="F26" s="29"/>
      <c r="G26" s="28"/>
      <c r="H26" s="49"/>
    </row>
    <row r="27" spans="1:12" ht="30">
      <c r="A27" s="17">
        <v>15</v>
      </c>
      <c r="B27" s="17" t="s">
        <v>87</v>
      </c>
      <c r="C27" s="19" t="s">
        <v>88</v>
      </c>
      <c r="D27" s="19" t="s">
        <v>89</v>
      </c>
      <c r="E27" s="19"/>
      <c r="F27" s="19" t="s">
        <v>33</v>
      </c>
      <c r="G27" s="19" t="s">
        <v>90</v>
      </c>
      <c r="H27" s="19" t="s">
        <v>91</v>
      </c>
    </row>
    <row r="28" spans="1:12" ht="30">
      <c r="A28" s="17">
        <v>16</v>
      </c>
      <c r="B28" s="17" t="s">
        <v>92</v>
      </c>
      <c r="C28" s="19" t="s">
        <v>93</v>
      </c>
      <c r="D28" s="19" t="s">
        <v>94</v>
      </c>
      <c r="E28" s="19"/>
      <c r="F28" s="19" t="s">
        <v>33</v>
      </c>
      <c r="G28" s="19" t="s">
        <v>90</v>
      </c>
      <c r="H28" s="19" t="s">
        <v>95</v>
      </c>
    </row>
    <row r="29" spans="1:12" ht="45">
      <c r="A29" s="17">
        <v>17</v>
      </c>
      <c r="B29" s="17" t="s">
        <v>96</v>
      </c>
      <c r="C29" s="19" t="s">
        <v>97</v>
      </c>
      <c r="D29" s="19" t="s">
        <v>98</v>
      </c>
      <c r="E29" s="19"/>
      <c r="F29" s="19" t="s">
        <v>33</v>
      </c>
      <c r="G29" s="19" t="s">
        <v>99</v>
      </c>
      <c r="H29" s="19" t="s">
        <v>100</v>
      </c>
    </row>
    <row r="30" spans="1:12">
      <c r="A30" s="17"/>
      <c r="B30" s="17"/>
      <c r="C30" s="21" t="s">
        <v>101</v>
      </c>
      <c r="D30" s="28"/>
      <c r="E30" s="36"/>
      <c r="F30" s="36"/>
      <c r="G30" s="28"/>
      <c r="H30" s="30"/>
    </row>
    <row r="31" spans="1:12" ht="30">
      <c r="A31" s="17">
        <v>18</v>
      </c>
      <c r="B31" s="6" t="s">
        <v>102</v>
      </c>
      <c r="C31" s="19" t="s">
        <v>103</v>
      </c>
      <c r="D31" s="19" t="s">
        <v>104</v>
      </c>
      <c r="E31" s="37" t="s">
        <v>105</v>
      </c>
      <c r="F31" s="37" t="s">
        <v>106</v>
      </c>
      <c r="G31" s="19" t="s">
        <v>81</v>
      </c>
      <c r="H31" s="19" t="s">
        <v>107</v>
      </c>
      <c r="L31" s="1"/>
    </row>
    <row r="32" spans="1:12" ht="45">
      <c r="A32" s="17">
        <v>19</v>
      </c>
      <c r="B32" s="6" t="s">
        <v>108</v>
      </c>
      <c r="C32" s="19" t="s">
        <v>109</v>
      </c>
      <c r="D32" s="19" t="s">
        <v>110</v>
      </c>
      <c r="E32" s="37" t="s">
        <v>111</v>
      </c>
      <c r="F32" s="37" t="s">
        <v>106</v>
      </c>
      <c r="G32" s="19" t="s">
        <v>22</v>
      </c>
      <c r="H32" s="19" t="s">
        <v>112</v>
      </c>
      <c r="L32" s="1"/>
    </row>
    <row r="33" spans="1:10">
      <c r="B33" s="2"/>
    </row>
    <row r="34" spans="1:10">
      <c r="B34" s="5" t="s">
        <v>113</v>
      </c>
    </row>
    <row r="35" spans="1:10">
      <c r="B35" s="3" t="s">
        <v>114</v>
      </c>
    </row>
    <row r="36" spans="1:10">
      <c r="A36" s="7" t="s">
        <v>8</v>
      </c>
      <c r="B36" s="7" t="s">
        <v>9</v>
      </c>
      <c r="C36" s="7" t="s">
        <v>10</v>
      </c>
      <c r="D36" s="7" t="s">
        <v>11</v>
      </c>
      <c r="E36" s="7" t="s">
        <v>12</v>
      </c>
      <c r="F36" s="18" t="s">
        <v>13</v>
      </c>
      <c r="G36" s="18" t="s">
        <v>14</v>
      </c>
      <c r="H36" s="18" t="s">
        <v>15</v>
      </c>
      <c r="I36" s="7" t="s">
        <v>115</v>
      </c>
      <c r="J36" s="7" t="s">
        <v>116</v>
      </c>
    </row>
    <row r="37" spans="1:10" ht="60">
      <c r="A37" s="17">
        <v>1</v>
      </c>
      <c r="B37" s="6" t="s">
        <v>117</v>
      </c>
      <c r="C37" s="6" t="s">
        <v>118</v>
      </c>
      <c r="D37" s="6" t="s">
        <v>119</v>
      </c>
      <c r="E37" s="6" t="s">
        <v>120</v>
      </c>
      <c r="F37" s="6" t="s">
        <v>121</v>
      </c>
      <c r="G37" s="6" t="s">
        <v>66</v>
      </c>
      <c r="H37" s="6" t="s">
        <v>122</v>
      </c>
      <c r="I37" s="6" t="s">
        <v>123</v>
      </c>
      <c r="J37" s="6" t="s">
        <v>124</v>
      </c>
    </row>
    <row r="38" spans="1:10" s="3" customFormat="1" ht="30">
      <c r="A38" s="17">
        <v>2</v>
      </c>
      <c r="B38" s="6" t="s">
        <v>125</v>
      </c>
      <c r="C38" s="6" t="s">
        <v>126</v>
      </c>
      <c r="D38" s="6" t="s">
        <v>127</v>
      </c>
      <c r="E38" s="6" t="s">
        <v>128</v>
      </c>
      <c r="F38" s="6" t="s">
        <v>121</v>
      </c>
      <c r="G38" s="6" t="s">
        <v>66</v>
      </c>
      <c r="H38" s="6" t="s">
        <v>129</v>
      </c>
      <c r="I38" s="13" t="s">
        <v>130</v>
      </c>
      <c r="J38" s="40"/>
    </row>
    <row r="39" spans="1:10" ht="45">
      <c r="A39" s="17">
        <v>3</v>
      </c>
      <c r="B39" s="6" t="s">
        <v>131</v>
      </c>
      <c r="C39" s="6" t="s">
        <v>132</v>
      </c>
      <c r="D39" s="6" t="s">
        <v>133</v>
      </c>
      <c r="E39" s="14" t="s">
        <v>134</v>
      </c>
      <c r="F39" s="6" t="s">
        <v>121</v>
      </c>
      <c r="G39" s="6" t="s">
        <v>66</v>
      </c>
      <c r="H39" s="6" t="s">
        <v>135</v>
      </c>
      <c r="I39" s="8" t="s">
        <v>136</v>
      </c>
      <c r="J39" s="40"/>
    </row>
    <row r="40" spans="1:10" ht="45">
      <c r="A40" s="17">
        <v>4</v>
      </c>
      <c r="B40" s="6" t="s">
        <v>137</v>
      </c>
      <c r="C40" s="6" t="s">
        <v>138</v>
      </c>
      <c r="D40" s="6" t="s">
        <v>139</v>
      </c>
      <c r="E40" s="14" t="s">
        <v>140</v>
      </c>
      <c r="F40" s="6" t="s">
        <v>121</v>
      </c>
      <c r="G40" s="6" t="s">
        <v>81</v>
      </c>
      <c r="H40" s="6" t="s">
        <v>141</v>
      </c>
      <c r="I40" s="8" t="s">
        <v>142</v>
      </c>
      <c r="J40" s="40"/>
    </row>
    <row r="41" spans="1:10" ht="45">
      <c r="A41" s="17">
        <v>5</v>
      </c>
      <c r="B41" s="6" t="s">
        <v>143</v>
      </c>
      <c r="C41" s="6" t="s">
        <v>144</v>
      </c>
      <c r="D41" s="6" t="s">
        <v>145</v>
      </c>
      <c r="E41" s="14" t="s">
        <v>120</v>
      </c>
      <c r="F41" s="6" t="s">
        <v>121</v>
      </c>
      <c r="G41" s="6" t="s">
        <v>66</v>
      </c>
      <c r="H41" s="6" t="s">
        <v>122</v>
      </c>
      <c r="I41" s="8" t="s">
        <v>146</v>
      </c>
      <c r="J41" s="40"/>
    </row>
    <row r="42" spans="1:10" ht="45">
      <c r="A42" s="17">
        <v>6</v>
      </c>
      <c r="B42" s="6" t="s">
        <v>147</v>
      </c>
      <c r="C42" s="6" t="s">
        <v>148</v>
      </c>
      <c r="D42" s="6" t="s">
        <v>149</v>
      </c>
      <c r="E42" s="14" t="s">
        <v>120</v>
      </c>
      <c r="F42" s="6" t="s">
        <v>121</v>
      </c>
      <c r="G42" s="6" t="s">
        <v>66</v>
      </c>
      <c r="H42" s="6" t="s">
        <v>122</v>
      </c>
      <c r="I42" s="8" t="s">
        <v>150</v>
      </c>
      <c r="J42" s="40"/>
    </row>
    <row r="43" spans="1:10" ht="45">
      <c r="A43" s="17">
        <v>7</v>
      </c>
      <c r="B43" s="6" t="s">
        <v>151</v>
      </c>
      <c r="C43" s="6" t="s">
        <v>152</v>
      </c>
      <c r="D43" s="6" t="s">
        <v>153</v>
      </c>
      <c r="E43" s="14" t="s">
        <v>120</v>
      </c>
      <c r="F43" s="6" t="s">
        <v>121</v>
      </c>
      <c r="G43" s="6" t="s">
        <v>66</v>
      </c>
      <c r="H43" s="6" t="s">
        <v>122</v>
      </c>
      <c r="I43" s="8" t="s">
        <v>154</v>
      </c>
      <c r="J43" s="40"/>
    </row>
    <row r="44" spans="1:10" ht="45">
      <c r="A44" s="17">
        <v>8</v>
      </c>
      <c r="B44" s="6" t="s">
        <v>155</v>
      </c>
      <c r="C44" s="6" t="s">
        <v>156</v>
      </c>
      <c r="D44" s="6" t="s">
        <v>157</v>
      </c>
      <c r="E44" s="14" t="s">
        <v>158</v>
      </c>
      <c r="F44" s="14" t="s">
        <v>159</v>
      </c>
      <c r="G44" s="6" t="s">
        <v>22</v>
      </c>
      <c r="H44" s="6" t="s">
        <v>160</v>
      </c>
      <c r="I44" s="8"/>
      <c r="J44" s="40"/>
    </row>
    <row r="45" spans="1:10" ht="45">
      <c r="A45" s="17">
        <v>9</v>
      </c>
      <c r="B45" s="6" t="s">
        <v>161</v>
      </c>
      <c r="C45" s="6" t="s">
        <v>162</v>
      </c>
      <c r="D45" s="6" t="s">
        <v>163</v>
      </c>
      <c r="E45" s="14" t="s">
        <v>158</v>
      </c>
      <c r="F45" s="6" t="s">
        <v>121</v>
      </c>
      <c r="G45" s="6" t="s">
        <v>66</v>
      </c>
      <c r="H45" s="6" t="s">
        <v>129</v>
      </c>
      <c r="I45" s="8"/>
      <c r="J45" s="40"/>
    </row>
    <row r="46" spans="1:10" ht="45">
      <c r="A46" s="17">
        <v>10</v>
      </c>
      <c r="B46" s="6" t="s">
        <v>164</v>
      </c>
      <c r="C46" s="6" t="s">
        <v>165</v>
      </c>
      <c r="D46" s="6" t="s">
        <v>166</v>
      </c>
      <c r="E46" s="14" t="s">
        <v>158</v>
      </c>
      <c r="F46" s="14" t="s">
        <v>159</v>
      </c>
      <c r="G46" s="6" t="s">
        <v>66</v>
      </c>
      <c r="H46" s="6" t="s">
        <v>167</v>
      </c>
      <c r="I46" s="8" t="s">
        <v>168</v>
      </c>
      <c r="J46" s="40"/>
    </row>
    <row r="47" spans="1:10" ht="45">
      <c r="A47" s="17">
        <v>11</v>
      </c>
      <c r="B47" s="6" t="s">
        <v>169</v>
      </c>
      <c r="C47" s="6" t="s">
        <v>170</v>
      </c>
      <c r="D47" s="6" t="s">
        <v>171</v>
      </c>
      <c r="E47" s="14"/>
      <c r="F47" s="14" t="s">
        <v>172</v>
      </c>
      <c r="G47" s="6" t="s">
        <v>66</v>
      </c>
      <c r="H47" s="6" t="s">
        <v>173</v>
      </c>
      <c r="I47" s="8"/>
      <c r="J47" s="40"/>
    </row>
    <row r="48" spans="1:10" ht="45">
      <c r="A48" s="17">
        <v>12</v>
      </c>
      <c r="B48" s="6" t="s">
        <v>174</v>
      </c>
      <c r="C48" s="6" t="s">
        <v>175</v>
      </c>
      <c r="D48" s="6" t="s">
        <v>176</v>
      </c>
      <c r="E48" s="41" t="s">
        <v>177</v>
      </c>
      <c r="F48" s="41" t="s">
        <v>159</v>
      </c>
      <c r="G48" s="6" t="s">
        <v>22</v>
      </c>
      <c r="H48" s="6" t="s">
        <v>178</v>
      </c>
      <c r="I48" s="8"/>
      <c r="J48" s="40"/>
    </row>
    <row r="49" spans="1:10" ht="30">
      <c r="A49" s="17">
        <v>13</v>
      </c>
      <c r="B49" s="6" t="s">
        <v>179</v>
      </c>
      <c r="C49" s="6" t="s">
        <v>180</v>
      </c>
      <c r="D49" s="6" t="s">
        <v>181</v>
      </c>
      <c r="E49" s="42" t="s">
        <v>158</v>
      </c>
      <c r="F49" s="42" t="s">
        <v>159</v>
      </c>
      <c r="G49" s="6" t="s">
        <v>81</v>
      </c>
      <c r="H49" s="6" t="s">
        <v>182</v>
      </c>
      <c r="I49" s="8"/>
      <c r="J49" s="40"/>
    </row>
    <row r="50" spans="1:10" ht="45">
      <c r="A50" s="17">
        <v>14</v>
      </c>
      <c r="B50" s="6" t="s">
        <v>183</v>
      </c>
      <c r="C50" s="6" t="s">
        <v>184</v>
      </c>
      <c r="D50" s="6" t="s">
        <v>185</v>
      </c>
      <c r="E50" s="39" t="s">
        <v>186</v>
      </c>
      <c r="F50" s="41" t="s">
        <v>159</v>
      </c>
      <c r="G50" s="6" t="s">
        <v>66</v>
      </c>
      <c r="H50" s="6" t="s">
        <v>187</v>
      </c>
      <c r="I50" s="8"/>
      <c r="J50" s="40"/>
    </row>
    <row r="51" spans="1:10" ht="45">
      <c r="A51" s="17">
        <v>15</v>
      </c>
      <c r="B51" s="6" t="s">
        <v>188</v>
      </c>
      <c r="C51" s="6" t="s">
        <v>189</v>
      </c>
      <c r="D51" s="6" t="s">
        <v>190</v>
      </c>
      <c r="E51" s="14" t="s">
        <v>158</v>
      </c>
      <c r="F51" s="41" t="s">
        <v>191</v>
      </c>
      <c r="G51" s="6" t="s">
        <v>81</v>
      </c>
      <c r="H51" s="6" t="s">
        <v>192</v>
      </c>
      <c r="I51" s="8"/>
      <c r="J51" s="40"/>
    </row>
    <row r="52" spans="1:10" ht="45">
      <c r="A52" s="17">
        <v>16</v>
      </c>
      <c r="B52" s="6" t="s">
        <v>179</v>
      </c>
      <c r="C52" s="6" t="s">
        <v>193</v>
      </c>
      <c r="D52" s="6" t="s">
        <v>194</v>
      </c>
      <c r="E52" s="6" t="s">
        <v>195</v>
      </c>
      <c r="F52" s="6" t="s">
        <v>159</v>
      </c>
      <c r="G52" s="6" t="s">
        <v>22</v>
      </c>
      <c r="H52" s="6" t="s">
        <v>196</v>
      </c>
      <c r="I52" s="6" t="s">
        <v>197</v>
      </c>
      <c r="J52" s="40"/>
    </row>
    <row r="54" spans="1:10">
      <c r="B54" s="4" t="s">
        <v>198</v>
      </c>
    </row>
    <row r="55" spans="1:10">
      <c r="B55" t="s">
        <v>199</v>
      </c>
    </row>
    <row r="56" spans="1:10">
      <c r="B56" s="7" t="s">
        <v>9</v>
      </c>
      <c r="C56" s="7" t="s">
        <v>10</v>
      </c>
      <c r="D56" s="7" t="s">
        <v>11</v>
      </c>
      <c r="E56" s="7"/>
      <c r="F56" s="7"/>
      <c r="G56" s="7" t="s">
        <v>200</v>
      </c>
      <c r="H56" s="7" t="s">
        <v>15</v>
      </c>
      <c r="I56" s="1"/>
    </row>
    <row r="57" spans="1:10" ht="30">
      <c r="B57" s="6" t="s">
        <v>201</v>
      </c>
      <c r="C57" s="6" t="s">
        <v>202</v>
      </c>
      <c r="D57" s="6" t="s">
        <v>203</v>
      </c>
      <c r="E57" s="6"/>
      <c r="F57" s="6"/>
      <c r="G57" s="6" t="s">
        <v>204</v>
      </c>
      <c r="H57" s="6" t="s">
        <v>205</v>
      </c>
      <c r="I57" s="1"/>
    </row>
    <row r="58" spans="1:10" ht="30">
      <c r="B58" s="6" t="s">
        <v>206</v>
      </c>
      <c r="C58" s="6" t="s">
        <v>207</v>
      </c>
      <c r="D58" s="6" t="s">
        <v>208</v>
      </c>
      <c r="E58" s="6"/>
      <c r="F58" s="6"/>
      <c r="G58" s="6" t="s">
        <v>209</v>
      </c>
      <c r="H58" s="6" t="s">
        <v>210</v>
      </c>
      <c r="I58" s="1"/>
    </row>
    <row r="59" spans="1:10" ht="30">
      <c r="B59" s="6" t="s">
        <v>211</v>
      </c>
      <c r="C59" s="6" t="s">
        <v>212</v>
      </c>
      <c r="D59" s="6" t="s">
        <v>213</v>
      </c>
      <c r="E59" s="6"/>
      <c r="F59" s="6"/>
      <c r="G59" s="6" t="s">
        <v>214</v>
      </c>
      <c r="H59" s="6" t="s">
        <v>215</v>
      </c>
      <c r="I59" s="1"/>
    </row>
    <row r="60" spans="1:10" ht="45">
      <c r="B60" s="6" t="s">
        <v>216</v>
      </c>
      <c r="C60" s="6" t="s">
        <v>217</v>
      </c>
      <c r="D60" s="6" t="s">
        <v>218</v>
      </c>
      <c r="E60" s="6"/>
      <c r="F60" s="6"/>
      <c r="G60" s="6" t="s">
        <v>219</v>
      </c>
      <c r="H60" s="6" t="s">
        <v>220</v>
      </c>
      <c r="I60" s="1"/>
    </row>
    <row r="61" spans="1:10" ht="30">
      <c r="B61" s="6" t="s">
        <v>221</v>
      </c>
      <c r="C61" s="6" t="s">
        <v>222</v>
      </c>
      <c r="D61" s="6" t="s">
        <v>223</v>
      </c>
      <c r="E61" s="6"/>
      <c r="F61" s="6"/>
      <c r="G61" s="6" t="s">
        <v>224</v>
      </c>
      <c r="H61" s="6"/>
      <c r="I61" s="1"/>
    </row>
    <row r="62" spans="1:10" ht="30">
      <c r="B62" s="6" t="s">
        <v>225</v>
      </c>
      <c r="C62" s="6" t="s">
        <v>226</v>
      </c>
      <c r="D62" s="6" t="s">
        <v>227</v>
      </c>
      <c r="E62" s="6"/>
      <c r="F62" s="6"/>
      <c r="G62" s="6"/>
      <c r="H62" s="6"/>
      <c r="I62" s="1"/>
    </row>
    <row r="63" spans="1:10" ht="30">
      <c r="B63" s="6" t="s">
        <v>228</v>
      </c>
      <c r="C63" s="6" t="s">
        <v>229</v>
      </c>
      <c r="D63" s="6" t="s">
        <v>230</v>
      </c>
      <c r="E63" s="6"/>
      <c r="F63" s="6"/>
      <c r="G63" s="6" t="s">
        <v>231</v>
      </c>
      <c r="H63" s="6" t="s">
        <v>232</v>
      </c>
      <c r="I63" s="1"/>
    </row>
    <row r="64" spans="1:10">
      <c r="I64" s="1"/>
    </row>
    <row r="66" spans="2:4">
      <c r="B66" t="s">
        <v>233</v>
      </c>
      <c r="D66"/>
    </row>
    <row r="67" spans="2:4">
      <c r="B67" t="s">
        <v>234</v>
      </c>
      <c r="D67"/>
    </row>
    <row r="68" spans="2:4">
      <c r="B68"/>
      <c r="C68" t="s">
        <v>235</v>
      </c>
      <c r="D68" t="s">
        <v>236</v>
      </c>
    </row>
    <row r="69" spans="2:4">
      <c r="B69"/>
      <c r="C69" t="s">
        <v>237</v>
      </c>
      <c r="D69" t="s">
        <v>238</v>
      </c>
    </row>
    <row r="70" spans="2:4">
      <c r="B70"/>
      <c r="C70" t="s">
        <v>239</v>
      </c>
      <c r="D70" t="s">
        <v>240</v>
      </c>
    </row>
    <row r="71" spans="2:4">
      <c r="B71"/>
      <c r="C71" t="s">
        <v>241</v>
      </c>
      <c r="D71" t="s">
        <v>242</v>
      </c>
    </row>
    <row r="72" spans="2:4">
      <c r="B72" t="s">
        <v>243</v>
      </c>
      <c r="C72"/>
      <c r="D72"/>
    </row>
    <row r="73" spans="2:4">
      <c r="C73" t="s">
        <v>244</v>
      </c>
      <c r="D73" t="s">
        <v>245</v>
      </c>
    </row>
    <row r="74" spans="2:4">
      <c r="C74" t="s">
        <v>246</v>
      </c>
      <c r="D74" t="s">
        <v>247</v>
      </c>
    </row>
    <row r="75" spans="2:4">
      <c r="C75" t="s">
        <v>248</v>
      </c>
      <c r="D75" t="s">
        <v>249</v>
      </c>
    </row>
    <row r="76" spans="2:4">
      <c r="B76" t="s">
        <v>250</v>
      </c>
      <c r="C76"/>
      <c r="D76"/>
    </row>
    <row r="77" spans="2:4">
      <c r="C77" t="s">
        <v>251</v>
      </c>
      <c r="D77"/>
    </row>
    <row r="78" spans="2:4">
      <c r="B78" t="s">
        <v>252</v>
      </c>
      <c r="C78"/>
      <c r="D78"/>
    </row>
    <row r="79" spans="2:4">
      <c r="C79" t="s">
        <v>253</v>
      </c>
      <c r="D79"/>
    </row>
    <row r="80" spans="2:4">
      <c r="B80" t="s">
        <v>254</v>
      </c>
      <c r="C80"/>
      <c r="D80"/>
    </row>
    <row r="81" spans="2:4">
      <c r="B81"/>
      <c r="C81" t="s">
        <v>255</v>
      </c>
      <c r="D81"/>
    </row>
  </sheetData>
  <phoneticPr fontId="1" type="noConversion"/>
  <conditionalFormatting sqref="F10:F26 F30:F32">
    <cfRule type="cellIs" dxfId="14" priority="4" operator="equal">
      <formula>"UI"</formula>
    </cfRule>
    <cfRule type="cellIs" dxfId="13" priority="5" operator="equal">
      <formula>"CORE"</formula>
    </cfRule>
    <cfRule type="cellIs" dxfId="12" priority="6" operator="equal">
      <formula>"HAL"</formula>
    </cfRule>
  </conditionalFormatting>
  <conditionalFormatting sqref="F37:F52">
    <cfRule type="cellIs" dxfId="11" priority="7" operator="equal">
      <formula>"ENG"</formula>
    </cfRule>
    <cfRule type="cellIs" dxfId="10" priority="8" operator="equal">
      <formula>"PERF"</formula>
    </cfRule>
  </conditionalFormatting>
  <conditionalFormatting sqref="G10:G26 G30:G32">
    <cfRule type="cellIs" dxfId="9" priority="1" operator="equal">
      <formula>"THẤP"</formula>
    </cfRule>
    <cfRule type="cellIs" dxfId="8" priority="2" operator="equal">
      <formula>"TRUNG BÌNH"</formula>
    </cfRule>
    <cfRule type="cellIs" dxfId="7" priority="3" operator="equal">
      <formula>"CAO"</formula>
    </cfRule>
  </conditionalFormatting>
  <hyperlinks>
    <hyperlink ref="I38" r:id="rId1" xr:uid="{8E166F91-5AF6-4BED-B30B-D29DA7079908}"/>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8CA7-CDCA-4979-B3A7-824F06199036}">
  <dimension ref="A2:C10"/>
  <sheetViews>
    <sheetView topLeftCell="A6" workbookViewId="0">
      <selection activeCell="C9" sqref="C9"/>
    </sheetView>
  </sheetViews>
  <sheetFormatPr defaultRowHeight="15"/>
  <cols>
    <col min="1" max="1" width="15.7109375" customWidth="1"/>
    <col min="2" max="2" width="30.5703125" customWidth="1"/>
    <col min="3" max="3" width="30.7109375" customWidth="1"/>
  </cols>
  <sheetData>
    <row r="2" spans="1:3">
      <c r="A2" t="s">
        <v>256</v>
      </c>
    </row>
    <row r="4" spans="1:3">
      <c r="A4" s="10" t="s">
        <v>257</v>
      </c>
      <c r="B4" s="10" t="s">
        <v>258</v>
      </c>
      <c r="C4" s="10" t="s">
        <v>259</v>
      </c>
    </row>
    <row r="5" spans="1:3" ht="30">
      <c r="A5" s="11" t="s">
        <v>260</v>
      </c>
      <c r="B5" s="11" t="s">
        <v>261</v>
      </c>
      <c r="C5" s="11" t="s">
        <v>262</v>
      </c>
    </row>
    <row r="6" spans="1:3" ht="60">
      <c r="A6" s="11" t="s">
        <v>263</v>
      </c>
      <c r="B6" s="11" t="s">
        <v>264</v>
      </c>
      <c r="C6" s="11" t="s">
        <v>265</v>
      </c>
    </row>
    <row r="7" spans="1:3" ht="30">
      <c r="A7" s="12" t="s">
        <v>266</v>
      </c>
      <c r="B7" s="11" t="s">
        <v>267</v>
      </c>
      <c r="C7" s="11" t="s">
        <v>268</v>
      </c>
    </row>
    <row r="8" spans="1:3" ht="45">
      <c r="A8" s="12" t="s">
        <v>269</v>
      </c>
      <c r="B8" s="11" t="s">
        <v>270</v>
      </c>
      <c r="C8" s="11" t="s">
        <v>271</v>
      </c>
    </row>
    <row r="9" spans="1:3" ht="30">
      <c r="A9" s="12" t="s">
        <v>272</v>
      </c>
      <c r="B9" s="11" t="s">
        <v>273</v>
      </c>
      <c r="C9" s="11" t="s">
        <v>274</v>
      </c>
    </row>
    <row r="10" spans="1:3" ht="30">
      <c r="A10" s="12" t="s">
        <v>275</v>
      </c>
      <c r="B10" s="11" t="s">
        <v>276</v>
      </c>
      <c r="C10" s="11"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82D17-2A86-48CD-9C05-7DBBE556827E}">
  <dimension ref="A1:N47"/>
  <sheetViews>
    <sheetView zoomScale="115" zoomScaleNormal="115" workbookViewId="0">
      <selection activeCell="C2" sqref="C2"/>
    </sheetView>
  </sheetViews>
  <sheetFormatPr defaultColWidth="3.7109375" defaultRowHeight="15"/>
  <cols>
    <col min="2" max="2" width="19" bestFit="1" customWidth="1"/>
    <col min="3" max="3" width="20.7109375" customWidth="1"/>
    <col min="4" max="4" width="40.7109375" customWidth="1"/>
    <col min="5" max="5" width="13.28515625" customWidth="1"/>
    <col min="6" max="6" width="10.42578125" customWidth="1"/>
    <col min="7" max="7" width="30.7109375" customWidth="1"/>
  </cols>
  <sheetData>
    <row r="1" spans="1:14">
      <c r="B1" t="s">
        <v>278</v>
      </c>
      <c r="C1" t="s">
        <v>279</v>
      </c>
    </row>
    <row r="2" spans="1:14">
      <c r="L2" t="s">
        <v>280</v>
      </c>
    </row>
    <row r="3" spans="1:14">
      <c r="M3" t="s">
        <v>281</v>
      </c>
    </row>
    <row r="4" spans="1:14">
      <c r="N4" t="s">
        <v>282</v>
      </c>
    </row>
    <row r="5" spans="1:14">
      <c r="M5" t="s">
        <v>283</v>
      </c>
    </row>
    <row r="6" spans="1:14">
      <c r="D6" s="50"/>
      <c r="N6" t="s">
        <v>284</v>
      </c>
    </row>
    <row r="7" spans="1:14">
      <c r="M7" t="s">
        <v>285</v>
      </c>
    </row>
    <row r="8" spans="1:14">
      <c r="N8" t="s">
        <v>286</v>
      </c>
    </row>
    <row r="9" spans="1:14">
      <c r="M9" t="s">
        <v>287</v>
      </c>
    </row>
    <row r="10" spans="1:14">
      <c r="N10" t="s">
        <v>288</v>
      </c>
    </row>
    <row r="12" spans="1:14">
      <c r="A12" s="21" t="s">
        <v>289</v>
      </c>
      <c r="B12" s="21" t="s">
        <v>290</v>
      </c>
      <c r="C12" s="21" t="s">
        <v>291</v>
      </c>
      <c r="D12" s="21" t="s">
        <v>292</v>
      </c>
      <c r="E12" s="16" t="s">
        <v>293</v>
      </c>
      <c r="F12" s="16" t="s">
        <v>294</v>
      </c>
      <c r="G12" s="16" t="s">
        <v>295</v>
      </c>
    </row>
    <row r="13" spans="1:14" ht="45">
      <c r="A13">
        <v>1</v>
      </c>
      <c r="B13" s="6" t="s">
        <v>17</v>
      </c>
      <c r="C13" s="19" t="s">
        <v>18</v>
      </c>
      <c r="D13" s="55" t="s">
        <v>296</v>
      </c>
      <c r="E13" s="6" t="s">
        <v>297</v>
      </c>
      <c r="F13" s="6" t="s">
        <v>90</v>
      </c>
      <c r="G13" s="6" t="s">
        <v>298</v>
      </c>
    </row>
    <row r="14" spans="1:14" ht="45">
      <c r="A14">
        <v>2</v>
      </c>
      <c r="B14" s="6" t="s">
        <v>24</v>
      </c>
      <c r="C14" s="6" t="s">
        <v>25</v>
      </c>
      <c r="D14" s="56" t="s">
        <v>26</v>
      </c>
      <c r="E14" s="6" t="s">
        <v>297</v>
      </c>
      <c r="F14" s="6" t="s">
        <v>90</v>
      </c>
      <c r="G14" s="6" t="s">
        <v>299</v>
      </c>
    </row>
    <row r="15" spans="1:14" ht="30">
      <c r="A15">
        <v>3</v>
      </c>
      <c r="B15" s="6" t="s">
        <v>30</v>
      </c>
      <c r="C15" s="6" t="s">
        <v>31</v>
      </c>
      <c r="D15" s="56" t="s">
        <v>32</v>
      </c>
      <c r="E15" s="6" t="s">
        <v>297</v>
      </c>
      <c r="F15" s="6" t="s">
        <v>90</v>
      </c>
      <c r="G15" s="6" t="s">
        <v>300</v>
      </c>
    </row>
    <row r="16" spans="1:14" ht="30">
      <c r="A16">
        <v>4</v>
      </c>
      <c r="B16" s="6" t="s">
        <v>35</v>
      </c>
      <c r="C16" s="25" t="s">
        <v>36</v>
      </c>
      <c r="D16" s="57" t="s">
        <v>37</v>
      </c>
      <c r="E16" s="6" t="s">
        <v>297</v>
      </c>
      <c r="F16" s="6" t="s">
        <v>90</v>
      </c>
      <c r="G16" s="6" t="s">
        <v>300</v>
      </c>
    </row>
    <row r="17" spans="1:7" ht="45">
      <c r="A17">
        <v>5</v>
      </c>
      <c r="B17" s="17" t="s">
        <v>39</v>
      </c>
      <c r="C17" s="6" t="s">
        <v>40</v>
      </c>
      <c r="D17" s="56" t="s">
        <v>41</v>
      </c>
      <c r="E17" s="6" t="s">
        <v>301</v>
      </c>
      <c r="F17" s="6" t="s">
        <v>90</v>
      </c>
      <c r="G17" s="6" t="s">
        <v>302</v>
      </c>
    </row>
    <row r="18" spans="1:7" ht="45">
      <c r="A18">
        <v>6</v>
      </c>
      <c r="B18" s="17" t="s">
        <v>44</v>
      </c>
      <c r="C18" s="6" t="s">
        <v>45</v>
      </c>
      <c r="D18" s="56" t="s">
        <v>46</v>
      </c>
      <c r="E18" s="6" t="s">
        <v>301</v>
      </c>
      <c r="F18" s="6" t="s">
        <v>90</v>
      </c>
      <c r="G18" s="6" t="s">
        <v>303</v>
      </c>
    </row>
    <row r="19" spans="1:7" ht="45">
      <c r="A19">
        <v>7</v>
      </c>
      <c r="B19" s="17" t="s">
        <v>48</v>
      </c>
      <c r="C19" s="6" t="s">
        <v>49</v>
      </c>
      <c r="D19" s="56" t="s">
        <v>50</v>
      </c>
      <c r="E19" s="6" t="s">
        <v>301</v>
      </c>
      <c r="F19" s="6" t="s">
        <v>99</v>
      </c>
      <c r="G19" s="6" t="s">
        <v>304</v>
      </c>
    </row>
    <row r="20" spans="1:7" ht="45">
      <c r="A20">
        <v>8</v>
      </c>
      <c r="B20" s="17" t="s">
        <v>305</v>
      </c>
      <c r="C20" s="6" t="s">
        <v>53</v>
      </c>
      <c r="D20" s="56" t="s">
        <v>54</v>
      </c>
      <c r="E20" s="6" t="s">
        <v>301</v>
      </c>
      <c r="F20" s="6" t="s">
        <v>90</v>
      </c>
      <c r="G20" s="6" t="s">
        <v>306</v>
      </c>
    </row>
    <row r="21" spans="1:7" ht="60">
      <c r="A21">
        <v>9</v>
      </c>
      <c r="B21" s="17" t="s">
        <v>57</v>
      </c>
      <c r="C21" s="19" t="s">
        <v>58</v>
      </c>
      <c r="D21" s="19" t="s">
        <v>59</v>
      </c>
      <c r="E21" s="6" t="s">
        <v>307</v>
      </c>
      <c r="F21" s="6" t="s">
        <v>90</v>
      </c>
      <c r="G21" s="6" t="s">
        <v>308</v>
      </c>
    </row>
    <row r="22" spans="1:7" ht="45">
      <c r="A22">
        <v>10</v>
      </c>
      <c r="B22" s="17" t="s">
        <v>62</v>
      </c>
      <c r="C22" s="19" t="s">
        <v>63</v>
      </c>
      <c r="D22" s="19" t="s">
        <v>64</v>
      </c>
      <c r="E22" s="6" t="s">
        <v>307</v>
      </c>
      <c r="F22" s="6" t="s">
        <v>90</v>
      </c>
      <c r="G22" s="6" t="s">
        <v>309</v>
      </c>
    </row>
    <row r="23" spans="1:7" ht="45">
      <c r="A23">
        <v>11</v>
      </c>
      <c r="B23" s="17" t="s">
        <v>68</v>
      </c>
      <c r="C23" s="19" t="s">
        <v>69</v>
      </c>
      <c r="D23" s="19" t="s">
        <v>70</v>
      </c>
      <c r="E23" s="6" t="s">
        <v>307</v>
      </c>
      <c r="F23" s="6" t="s">
        <v>99</v>
      </c>
      <c r="G23" s="6" t="s">
        <v>310</v>
      </c>
    </row>
    <row r="24" spans="1:7" ht="45">
      <c r="A24">
        <v>12</v>
      </c>
      <c r="B24" s="17" t="s">
        <v>73</v>
      </c>
      <c r="C24" s="19" t="s">
        <v>74</v>
      </c>
      <c r="D24" s="19" t="s">
        <v>75</v>
      </c>
      <c r="E24" s="6" t="s">
        <v>33</v>
      </c>
      <c r="F24" s="6" t="s">
        <v>90</v>
      </c>
      <c r="G24" s="6" t="s">
        <v>311</v>
      </c>
    </row>
    <row r="25" spans="1:7" ht="45">
      <c r="A25">
        <v>13</v>
      </c>
      <c r="B25" s="17" t="s">
        <v>77</v>
      </c>
      <c r="C25" s="19" t="s">
        <v>78</v>
      </c>
      <c r="D25" s="19" t="s">
        <v>79</v>
      </c>
      <c r="E25" s="6" t="s">
        <v>33</v>
      </c>
      <c r="F25" s="6" t="s">
        <v>99</v>
      </c>
      <c r="G25" s="6" t="s">
        <v>312</v>
      </c>
    </row>
    <row r="26" spans="1:7" ht="45">
      <c r="A26">
        <v>14</v>
      </c>
      <c r="B26" s="48" t="s">
        <v>82</v>
      </c>
      <c r="C26" s="19" t="s">
        <v>83</v>
      </c>
      <c r="D26" s="19" t="s">
        <v>84</v>
      </c>
      <c r="E26" s="25" t="s">
        <v>33</v>
      </c>
      <c r="F26" s="25" t="s">
        <v>99</v>
      </c>
      <c r="G26" s="6" t="s">
        <v>313</v>
      </c>
    </row>
    <row r="27" spans="1:7" ht="45">
      <c r="A27">
        <v>15</v>
      </c>
      <c r="B27" s="17" t="s">
        <v>87</v>
      </c>
      <c r="C27" s="19" t="s">
        <v>88</v>
      </c>
      <c r="D27" s="19" t="s">
        <v>89</v>
      </c>
      <c r="E27" s="25" t="s">
        <v>33</v>
      </c>
      <c r="F27" s="25" t="s">
        <v>90</v>
      </c>
      <c r="G27" s="6" t="s">
        <v>91</v>
      </c>
    </row>
    <row r="28" spans="1:7" ht="45">
      <c r="A28">
        <v>16</v>
      </c>
      <c r="B28" s="17" t="s">
        <v>92</v>
      </c>
      <c r="C28" s="19" t="s">
        <v>93</v>
      </c>
      <c r="D28" s="19" t="s">
        <v>94</v>
      </c>
      <c r="E28" s="25" t="s">
        <v>33</v>
      </c>
      <c r="F28" s="25" t="s">
        <v>90</v>
      </c>
      <c r="G28" s="6" t="s">
        <v>95</v>
      </c>
    </row>
    <row r="29" spans="1:7" ht="45">
      <c r="A29">
        <v>17</v>
      </c>
      <c r="B29" s="17" t="s">
        <v>96</v>
      </c>
      <c r="C29" s="19" t="s">
        <v>97</v>
      </c>
      <c r="D29" s="19" t="s">
        <v>98</v>
      </c>
      <c r="E29" s="25" t="s">
        <v>33</v>
      </c>
      <c r="F29" s="25" t="s">
        <v>99</v>
      </c>
      <c r="G29" s="6" t="s">
        <v>100</v>
      </c>
    </row>
    <row r="30" spans="1:7" ht="30">
      <c r="A30">
        <v>18</v>
      </c>
      <c r="B30" s="47" t="s">
        <v>102</v>
      </c>
      <c r="C30" s="47" t="s">
        <v>103</v>
      </c>
      <c r="D30" s="47" t="s">
        <v>104</v>
      </c>
      <c r="E30" s="47" t="s">
        <v>314</v>
      </c>
      <c r="F30" s="47" t="s">
        <v>315</v>
      </c>
      <c r="G30" s="47" t="s">
        <v>316</v>
      </c>
    </row>
    <row r="31" spans="1:7" ht="45">
      <c r="A31">
        <v>19</v>
      </c>
      <c r="B31" s="19" t="s">
        <v>108</v>
      </c>
      <c r="C31" s="19" t="s">
        <v>109</v>
      </c>
      <c r="D31" s="19" t="s">
        <v>110</v>
      </c>
      <c r="E31" s="19" t="s">
        <v>314</v>
      </c>
      <c r="F31" s="19" t="s">
        <v>99</v>
      </c>
      <c r="G31" s="19" t="s">
        <v>317</v>
      </c>
    </row>
    <row r="32" spans="1:7" ht="60">
      <c r="A32">
        <v>20</v>
      </c>
      <c r="B32" s="6" t="s">
        <v>117</v>
      </c>
      <c r="C32" s="6" t="s">
        <v>118</v>
      </c>
      <c r="D32" s="45" t="s">
        <v>318</v>
      </c>
      <c r="E32" s="6" t="s">
        <v>319</v>
      </c>
      <c r="F32" s="6" t="s">
        <v>90</v>
      </c>
      <c r="G32" s="6" t="s">
        <v>320</v>
      </c>
    </row>
    <row r="33" spans="1:7" ht="45">
      <c r="A33">
        <v>21</v>
      </c>
      <c r="B33" s="6" t="s">
        <v>125</v>
      </c>
      <c r="C33" s="6" t="s">
        <v>126</v>
      </c>
      <c r="D33" s="6" t="s">
        <v>127</v>
      </c>
      <c r="E33" s="6" t="s">
        <v>307</v>
      </c>
      <c r="F33" s="6" t="s">
        <v>90</v>
      </c>
      <c r="G33" s="6" t="s">
        <v>321</v>
      </c>
    </row>
    <row r="34" spans="1:7" ht="30">
      <c r="A34">
        <v>22</v>
      </c>
      <c r="B34" s="6" t="s">
        <v>131</v>
      </c>
      <c r="C34" s="6" t="s">
        <v>132</v>
      </c>
      <c r="D34" s="6" t="s">
        <v>133</v>
      </c>
      <c r="E34" s="6" t="s">
        <v>297</v>
      </c>
      <c r="F34" s="6" t="s">
        <v>99</v>
      </c>
      <c r="G34" s="6" t="s">
        <v>322</v>
      </c>
    </row>
    <row r="35" spans="1:7" ht="45">
      <c r="A35">
        <v>23</v>
      </c>
      <c r="B35" s="6" t="s">
        <v>137</v>
      </c>
      <c r="C35" s="6" t="s">
        <v>138</v>
      </c>
      <c r="D35" s="6" t="s">
        <v>139</v>
      </c>
      <c r="E35" s="6" t="s">
        <v>297</v>
      </c>
      <c r="F35" s="6" t="s">
        <v>315</v>
      </c>
      <c r="G35" s="6" t="s">
        <v>141</v>
      </c>
    </row>
    <row r="36" spans="1:7" ht="45">
      <c r="A36">
        <v>24</v>
      </c>
      <c r="B36" s="6" t="s">
        <v>143</v>
      </c>
      <c r="C36" s="6" t="s">
        <v>144</v>
      </c>
      <c r="D36" s="6" t="s">
        <v>145</v>
      </c>
      <c r="E36" s="6" t="s">
        <v>301</v>
      </c>
      <c r="F36" s="6" t="s">
        <v>90</v>
      </c>
      <c r="G36" s="6" t="s">
        <v>323</v>
      </c>
    </row>
    <row r="37" spans="1:7" ht="45">
      <c r="A37">
        <v>25</v>
      </c>
      <c r="B37" s="6" t="s">
        <v>147</v>
      </c>
      <c r="C37" s="6" t="s">
        <v>148</v>
      </c>
      <c r="D37" s="6" t="s">
        <v>149</v>
      </c>
      <c r="E37" s="6" t="s">
        <v>301</v>
      </c>
      <c r="F37" s="6" t="s">
        <v>99</v>
      </c>
      <c r="G37" s="6" t="s">
        <v>324</v>
      </c>
    </row>
    <row r="38" spans="1:7" ht="45">
      <c r="A38">
        <v>26</v>
      </c>
      <c r="B38" s="6" t="s">
        <v>151</v>
      </c>
      <c r="C38" s="6" t="s">
        <v>152</v>
      </c>
      <c r="D38" s="6" t="s">
        <v>153</v>
      </c>
      <c r="E38" s="6" t="s">
        <v>33</v>
      </c>
      <c r="F38" s="6" t="s">
        <v>99</v>
      </c>
      <c r="G38" s="6" t="s">
        <v>325</v>
      </c>
    </row>
    <row r="39" spans="1:7" ht="45">
      <c r="A39">
        <v>27</v>
      </c>
      <c r="B39" s="6" t="s">
        <v>155</v>
      </c>
      <c r="C39" s="6" t="s">
        <v>156</v>
      </c>
      <c r="D39" s="6" t="s">
        <v>157</v>
      </c>
      <c r="E39" s="6" t="s">
        <v>319</v>
      </c>
      <c r="F39" s="6" t="s">
        <v>90</v>
      </c>
      <c r="G39" s="6" t="s">
        <v>326</v>
      </c>
    </row>
    <row r="40" spans="1:7" ht="60">
      <c r="A40">
        <v>28</v>
      </c>
      <c r="B40" s="6" t="s">
        <v>161</v>
      </c>
      <c r="C40" s="6" t="s">
        <v>162</v>
      </c>
      <c r="D40" s="6" t="s">
        <v>163</v>
      </c>
      <c r="E40" s="6" t="s">
        <v>307</v>
      </c>
      <c r="F40" s="6" t="s">
        <v>99</v>
      </c>
      <c r="G40" s="6" t="s">
        <v>327</v>
      </c>
    </row>
    <row r="41" spans="1:7" ht="45">
      <c r="A41">
        <v>29</v>
      </c>
      <c r="B41" s="6" t="s">
        <v>164</v>
      </c>
      <c r="C41" s="6" t="s">
        <v>165</v>
      </c>
      <c r="D41" s="6" t="s">
        <v>328</v>
      </c>
      <c r="E41" s="6" t="s">
        <v>301</v>
      </c>
      <c r="F41" s="6" t="s">
        <v>90</v>
      </c>
      <c r="G41" s="6" t="s">
        <v>329</v>
      </c>
    </row>
    <row r="42" spans="1:7" ht="45">
      <c r="A42">
        <v>30</v>
      </c>
      <c r="B42" s="6" t="s">
        <v>169</v>
      </c>
      <c r="C42" s="6" t="s">
        <v>170</v>
      </c>
      <c r="D42" s="6" t="s">
        <v>171</v>
      </c>
      <c r="E42" s="6" t="s">
        <v>319</v>
      </c>
      <c r="F42" s="6" t="s">
        <v>99</v>
      </c>
      <c r="G42" s="6" t="s">
        <v>173</v>
      </c>
    </row>
    <row r="43" spans="1:7" ht="45">
      <c r="A43">
        <v>31</v>
      </c>
      <c r="B43" s="6" t="s">
        <v>174</v>
      </c>
      <c r="C43" s="6" t="s">
        <v>175</v>
      </c>
      <c r="D43" s="6" t="s">
        <v>176</v>
      </c>
      <c r="E43" s="6" t="s">
        <v>319</v>
      </c>
      <c r="F43" s="6" t="s">
        <v>90</v>
      </c>
      <c r="G43" s="6" t="s">
        <v>330</v>
      </c>
    </row>
    <row r="44" spans="1:7" ht="45">
      <c r="A44">
        <v>32</v>
      </c>
      <c r="B44" s="6" t="s">
        <v>179</v>
      </c>
      <c r="C44" s="6" t="s">
        <v>180</v>
      </c>
      <c r="D44" s="6" t="s">
        <v>181</v>
      </c>
      <c r="E44" s="6" t="s">
        <v>319</v>
      </c>
      <c r="F44" s="6" t="s">
        <v>99</v>
      </c>
      <c r="G44" s="6" t="s">
        <v>331</v>
      </c>
    </row>
    <row r="45" spans="1:7" ht="60">
      <c r="A45">
        <v>33</v>
      </c>
      <c r="B45" s="6" t="s">
        <v>183</v>
      </c>
      <c r="C45" s="6" t="s">
        <v>184</v>
      </c>
      <c r="D45" s="6" t="s">
        <v>185</v>
      </c>
      <c r="E45" s="6" t="s">
        <v>307</v>
      </c>
      <c r="F45" s="6" t="s">
        <v>90</v>
      </c>
      <c r="G45" s="6" t="s">
        <v>332</v>
      </c>
    </row>
    <row r="46" spans="1:7" ht="60">
      <c r="A46">
        <v>34</v>
      </c>
      <c r="B46" s="6" t="s">
        <v>188</v>
      </c>
      <c r="C46" s="6" t="s">
        <v>189</v>
      </c>
      <c r="D46" s="6" t="s">
        <v>190</v>
      </c>
      <c r="E46" s="6" t="s">
        <v>307</v>
      </c>
      <c r="F46" s="6" t="s">
        <v>315</v>
      </c>
      <c r="G46" s="6" t="s">
        <v>333</v>
      </c>
    </row>
    <row r="47" spans="1:7" ht="45">
      <c r="A47">
        <v>35</v>
      </c>
      <c r="B47" s="6" t="s">
        <v>334</v>
      </c>
      <c r="C47" s="6" t="s">
        <v>193</v>
      </c>
      <c r="D47" s="6" t="s">
        <v>194</v>
      </c>
      <c r="E47" s="6" t="s">
        <v>319</v>
      </c>
      <c r="F47" s="6" t="s">
        <v>90</v>
      </c>
      <c r="G47" s="6" t="s">
        <v>335</v>
      </c>
    </row>
  </sheetData>
  <autoFilter ref="F13:F47" xr:uid="{2E382D17-2A86-48CD-9C05-7DBBE556827E}"/>
  <conditionalFormatting sqref="E13:E47">
    <cfRule type="cellIs" dxfId="6" priority="1" operator="equal">
      <formula>"ui"</formula>
    </cfRule>
    <cfRule type="cellIs" dxfId="5" priority="2" operator="equal">
      <formula>"ACQ-CTL"</formula>
    </cfRule>
    <cfRule type="cellIs" dxfId="4" priority="3" operator="equal">
      <formula>"ENV-MON"</formula>
    </cfRule>
    <cfRule type="cellIs" dxfId="3" priority="4" operator="equal">
      <formula>"AI-CORE"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4162-3BDF-4966-8EB7-23AED570D827}">
  <sheetPr filterMode="1"/>
  <dimension ref="A2:F38"/>
  <sheetViews>
    <sheetView zoomScaleNormal="100" workbookViewId="0">
      <selection activeCell="E16" sqref="E16"/>
    </sheetView>
  </sheetViews>
  <sheetFormatPr defaultRowHeight="15"/>
  <cols>
    <col min="1" max="1" width="9.140625" style="3"/>
    <col min="2" max="2" width="23.42578125" style="3" customWidth="1"/>
    <col min="3" max="3" width="15.42578125" style="2" bestFit="1" customWidth="1"/>
    <col min="4" max="4" width="15.7109375" style="2" customWidth="1"/>
    <col min="5" max="5" width="36.42578125" style="2" customWidth="1"/>
    <col min="6" max="6" width="32.85546875" style="1" customWidth="1"/>
    <col min="7" max="7" width="32.85546875" customWidth="1"/>
  </cols>
  <sheetData>
    <row r="2" spans="1:6" ht="45">
      <c r="D2" s="2" t="str">
        <f>'3. SysReqSpec 15-51 v0.3.0'!$B13</f>
        <v>SYS.FUNC.ENV.01</v>
      </c>
      <c r="E2" s="2" t="str">
        <f>'3. SysReqSpec 15-51 v0.3.0'!$D13</f>
        <v>Hệ thống phải đọc được giá trị nhiệt độ và độ ẩm từ cảm biến SHT3x thông qua giao thức I2C với tần suất 5 giây/lần.</v>
      </c>
    </row>
    <row r="5" spans="1:6" s="4" customFormat="1">
      <c r="A5" s="5" t="s">
        <v>336</v>
      </c>
      <c r="B5" s="5" t="s">
        <v>337</v>
      </c>
      <c r="C5" s="54" t="s">
        <v>338</v>
      </c>
      <c r="D5" s="54" t="s">
        <v>339</v>
      </c>
      <c r="E5" s="54" t="s">
        <v>340</v>
      </c>
      <c r="F5" s="51" t="s">
        <v>341</v>
      </c>
    </row>
    <row r="6" spans="1:6" s="3" customFormat="1" ht="75">
      <c r="B6" s="3" t="s">
        <v>17</v>
      </c>
      <c r="C6" s="2" t="s">
        <v>342</v>
      </c>
      <c r="D6" s="2" t="s">
        <v>343</v>
      </c>
      <c r="E6" s="2" t="s">
        <v>344</v>
      </c>
      <c r="F6" s="2" t="s">
        <v>345</v>
      </c>
    </row>
    <row r="7" spans="1:6" s="3" customFormat="1" ht="60" hidden="1">
      <c r="B7" s="3" t="s">
        <v>24</v>
      </c>
      <c r="C7" s="2"/>
      <c r="D7" s="2"/>
      <c r="E7" s="52" t="s">
        <v>346</v>
      </c>
      <c r="F7" s="2"/>
    </row>
    <row r="8" spans="1:6" s="3" customFormat="1" ht="45" hidden="1">
      <c r="B8" s="2" t="s">
        <v>30</v>
      </c>
      <c r="C8" s="2"/>
      <c r="D8" s="2"/>
      <c r="E8" s="52" t="s">
        <v>347</v>
      </c>
      <c r="F8" s="2"/>
    </row>
    <row r="9" spans="1:6" s="3" customFormat="1" hidden="1">
      <c r="B9" s="2" t="s">
        <v>35</v>
      </c>
      <c r="C9" s="2"/>
      <c r="D9" s="2"/>
      <c r="E9" s="52"/>
      <c r="F9" s="2"/>
    </row>
    <row r="10" spans="1:6" s="3" customFormat="1" ht="30" hidden="1">
      <c r="B10" s="2" t="s">
        <v>39</v>
      </c>
      <c r="C10" s="2"/>
      <c r="D10" s="2"/>
      <c r="E10" s="52" t="s">
        <v>348</v>
      </c>
      <c r="F10" s="2"/>
    </row>
    <row r="11" spans="1:6" s="3" customFormat="1" ht="30" hidden="1">
      <c r="B11" s="2" t="s">
        <v>44</v>
      </c>
      <c r="C11" s="2"/>
      <c r="D11" s="2"/>
      <c r="E11" s="52" t="s">
        <v>349</v>
      </c>
      <c r="F11" s="2"/>
    </row>
    <row r="12" spans="1:6" s="3" customFormat="1" ht="30">
      <c r="B12" s="3" t="s">
        <v>17</v>
      </c>
      <c r="C12" s="2" t="s">
        <v>350</v>
      </c>
      <c r="D12" s="2" t="s">
        <v>351</v>
      </c>
      <c r="E12" s="2" t="s">
        <v>352</v>
      </c>
      <c r="F12" s="2" t="s">
        <v>353</v>
      </c>
    </row>
    <row r="13" spans="1:6" s="3" customFormat="1" ht="30">
      <c r="B13" s="3" t="s">
        <v>17</v>
      </c>
      <c r="C13" s="2" t="s">
        <v>354</v>
      </c>
      <c r="D13" s="2" t="s">
        <v>355</v>
      </c>
      <c r="E13" s="2" t="s">
        <v>356</v>
      </c>
      <c r="F13" s="2" t="s">
        <v>357</v>
      </c>
    </row>
    <row r="14" spans="1:6" s="3" customFormat="1" ht="75">
      <c r="B14" s="3" t="s">
        <v>17</v>
      </c>
      <c r="C14" s="2" t="s">
        <v>358</v>
      </c>
      <c r="D14" s="2" t="s">
        <v>359</v>
      </c>
      <c r="E14" s="2" t="s">
        <v>360</v>
      </c>
      <c r="F14" s="2" t="s">
        <v>357</v>
      </c>
    </row>
    <row r="15" spans="1:6" s="3" customFormat="1" ht="30" hidden="1">
      <c r="B15" s="3" t="s">
        <v>24</v>
      </c>
      <c r="C15" s="2"/>
      <c r="D15" s="2"/>
      <c r="E15" s="52" t="s">
        <v>361</v>
      </c>
      <c r="F15" s="2"/>
    </row>
    <row r="16" spans="1:6" s="3" customFormat="1" ht="75">
      <c r="B16" s="3" t="s">
        <v>17</v>
      </c>
      <c r="C16" s="2" t="s">
        <v>362</v>
      </c>
      <c r="D16" s="2" t="s">
        <v>363</v>
      </c>
      <c r="E16" s="2" t="s">
        <v>364</v>
      </c>
      <c r="F16" s="2" t="s">
        <v>365</v>
      </c>
    </row>
    <row r="17" spans="2:6" s="3" customFormat="1" ht="30" hidden="1">
      <c r="B17" s="3" t="s">
        <v>24</v>
      </c>
      <c r="C17" s="2"/>
      <c r="D17" s="2"/>
      <c r="E17" s="52" t="s">
        <v>366</v>
      </c>
      <c r="F17" s="2"/>
    </row>
    <row r="18" spans="2:6" s="3" customFormat="1" ht="30" hidden="1">
      <c r="B18" s="3" t="s">
        <v>30</v>
      </c>
      <c r="C18" s="2"/>
      <c r="D18" s="2"/>
      <c r="E18" s="52" t="s">
        <v>367</v>
      </c>
      <c r="F18" s="2"/>
    </row>
    <row r="19" spans="2:6" s="3" customFormat="1" ht="45" hidden="1">
      <c r="B19" s="3" t="s">
        <v>30</v>
      </c>
      <c r="C19" s="2" t="s">
        <v>368</v>
      </c>
      <c r="D19" s="2" t="s">
        <v>369</v>
      </c>
      <c r="E19" s="52" t="s">
        <v>370</v>
      </c>
      <c r="F19" s="2"/>
    </row>
    <row r="20" spans="2:6" s="3" customFormat="1" ht="30" hidden="1">
      <c r="B20" s="2" t="s">
        <v>30</v>
      </c>
      <c r="C20" s="2" t="s">
        <v>371</v>
      </c>
      <c r="D20" s="2" t="s">
        <v>369</v>
      </c>
      <c r="E20" s="52" t="s">
        <v>372</v>
      </c>
      <c r="F20" s="2"/>
    </row>
    <row r="21" spans="2:6" s="3" customFormat="1" hidden="1">
      <c r="B21" s="2" t="s">
        <v>35</v>
      </c>
      <c r="C21" s="2"/>
      <c r="D21" s="2"/>
      <c r="E21" s="52"/>
      <c r="F21" s="2"/>
    </row>
    <row r="22" spans="2:6" s="3" customFormat="1" ht="45" hidden="1">
      <c r="B22" s="2" t="s">
        <v>30</v>
      </c>
      <c r="C22" s="2" t="s">
        <v>373</v>
      </c>
      <c r="D22" s="2" t="s">
        <v>374</v>
      </c>
      <c r="E22" s="52" t="s">
        <v>375</v>
      </c>
      <c r="F22" s="2"/>
    </row>
    <row r="23" spans="2:6" s="3" customFormat="1" hidden="1">
      <c r="B23" s="2" t="s">
        <v>35</v>
      </c>
      <c r="C23" s="2"/>
      <c r="D23" s="2"/>
      <c r="E23" s="52"/>
      <c r="F23" s="2"/>
    </row>
    <row r="24" spans="2:6" s="3" customFormat="1" ht="30" hidden="1">
      <c r="B24" s="2" t="s">
        <v>39</v>
      </c>
      <c r="C24" s="2" t="s">
        <v>376</v>
      </c>
      <c r="D24" s="2" t="s">
        <v>369</v>
      </c>
      <c r="E24" s="2" t="s">
        <v>377</v>
      </c>
      <c r="F24" s="2"/>
    </row>
    <row r="25" spans="2:6" s="3" customFormat="1" hidden="1">
      <c r="B25" s="2" t="s">
        <v>44</v>
      </c>
      <c r="C25" s="2"/>
      <c r="D25" s="2"/>
      <c r="E25" s="2"/>
      <c r="F25" s="2"/>
    </row>
    <row r="26" spans="2:6" s="3" customFormat="1" ht="30" hidden="1">
      <c r="B26" s="3" t="s">
        <v>39</v>
      </c>
      <c r="C26" s="2" t="s">
        <v>378</v>
      </c>
      <c r="D26" s="2" t="s">
        <v>369</v>
      </c>
      <c r="E26" s="2" t="s">
        <v>379</v>
      </c>
      <c r="F26" s="2"/>
    </row>
    <row r="27" spans="2:6" s="3" customFormat="1" ht="30" hidden="1">
      <c r="B27" s="2" t="s">
        <v>39</v>
      </c>
      <c r="C27" s="53" t="s">
        <v>380</v>
      </c>
      <c r="D27" s="53" t="s">
        <v>369</v>
      </c>
      <c r="E27" s="2" t="s">
        <v>381</v>
      </c>
      <c r="F27" s="2" t="s">
        <v>382</v>
      </c>
    </row>
    <row r="28" spans="2:6" s="3" customFormat="1" hidden="1">
      <c r="B28" s="2" t="s">
        <v>44</v>
      </c>
      <c r="C28" s="53"/>
      <c r="D28" s="53"/>
      <c r="E28" s="2"/>
      <c r="F28" s="2"/>
    </row>
    <row r="29" spans="2:6" ht="45" hidden="1">
      <c r="B29" s="3" t="s">
        <v>39</v>
      </c>
      <c r="C29" s="2" t="s">
        <v>383</v>
      </c>
      <c r="D29" s="2" t="s">
        <v>384</v>
      </c>
      <c r="E29" s="2" t="s">
        <v>385</v>
      </c>
    </row>
    <row r="30" spans="2:6" ht="30" hidden="1">
      <c r="B30" s="2" t="s">
        <v>39</v>
      </c>
      <c r="C30" s="2" t="s">
        <v>386</v>
      </c>
      <c r="D30" s="2" t="s">
        <v>355</v>
      </c>
      <c r="E30" s="2" t="s">
        <v>387</v>
      </c>
    </row>
    <row r="31" spans="2:6" hidden="1">
      <c r="B31" s="2" t="s">
        <v>44</v>
      </c>
    </row>
    <row r="32" spans="2:6" ht="30" hidden="1">
      <c r="B32" s="2" t="s">
        <v>39</v>
      </c>
      <c r="C32" s="2" t="s">
        <v>388</v>
      </c>
      <c r="D32" s="2" t="s">
        <v>355</v>
      </c>
      <c r="E32" s="2" t="s">
        <v>389</v>
      </c>
    </row>
    <row r="33" spans="2:5" hidden="1">
      <c r="B33" s="2" t="s">
        <v>44</v>
      </c>
    </row>
    <row r="34" spans="2:5" ht="45" hidden="1">
      <c r="B34" s="3" t="s">
        <v>39</v>
      </c>
      <c r="C34" s="2" t="s">
        <v>390</v>
      </c>
      <c r="D34" s="2" t="s">
        <v>391</v>
      </c>
      <c r="E34" s="2" t="s">
        <v>392</v>
      </c>
    </row>
    <row r="35" spans="2:5" ht="30" hidden="1">
      <c r="B35" s="3" t="s">
        <v>39</v>
      </c>
      <c r="C35" s="2" t="s">
        <v>393</v>
      </c>
      <c r="D35" s="2" t="s">
        <v>391</v>
      </c>
      <c r="E35" s="2" t="s">
        <v>394</v>
      </c>
    </row>
    <row r="36" spans="2:5" hidden="1">
      <c r="B36" s="3" t="s">
        <v>44</v>
      </c>
      <c r="C36" s="2" t="s">
        <v>395</v>
      </c>
      <c r="D36" s="2" t="s">
        <v>369</v>
      </c>
      <c r="E36" s="2" t="s">
        <v>396</v>
      </c>
    </row>
    <row r="37" spans="2:5" ht="45" hidden="1">
      <c r="B37" s="3" t="s">
        <v>44</v>
      </c>
      <c r="C37" s="2" t="s">
        <v>397</v>
      </c>
      <c r="D37" s="2" t="s">
        <v>391</v>
      </c>
      <c r="E37" s="2" t="s">
        <v>398</v>
      </c>
    </row>
    <row r="38" spans="2:5" ht="45" hidden="1">
      <c r="B38" s="3" t="s">
        <v>44</v>
      </c>
      <c r="C38" s="2" t="s">
        <v>399</v>
      </c>
      <c r="D38" s="2" t="s">
        <v>384</v>
      </c>
      <c r="E38" s="2" t="s">
        <v>400</v>
      </c>
    </row>
  </sheetData>
  <autoFilter ref="A5:F38" xr:uid="{FA744162-3BDF-4966-8EB7-23AED570D827}">
    <filterColumn colId="1">
      <filters>
        <filter val="SYS.FUNC.ENV.01"/>
      </filters>
    </filterColumn>
  </autoFilter>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02B6-189B-4954-9A87-7BE792843A42}">
  <dimension ref="A4:B10"/>
  <sheetViews>
    <sheetView workbookViewId="0">
      <selection activeCell="G13" sqref="G13"/>
    </sheetView>
  </sheetViews>
  <sheetFormatPr defaultColWidth="3.7109375" defaultRowHeight="15"/>
  <sheetData>
    <row r="4" spans="1:2">
      <c r="A4" t="s">
        <v>401</v>
      </c>
    </row>
    <row r="5" spans="1:2">
      <c r="B5" s="76" t="s">
        <v>402</v>
      </c>
    </row>
    <row r="6" spans="1:2">
      <c r="B6" s="76" t="s">
        <v>403</v>
      </c>
    </row>
    <row r="7" spans="1:2">
      <c r="B7" s="76" t="s">
        <v>404</v>
      </c>
    </row>
    <row r="8" spans="1:2">
      <c r="B8" s="77" t="s">
        <v>405</v>
      </c>
    </row>
    <row r="9" spans="1:2">
      <c r="B9" s="77" t="s">
        <v>406</v>
      </c>
    </row>
    <row r="10" spans="1:2">
      <c r="B10" s="77" t="s">
        <v>407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469C-4412-4D9B-A47B-08575F5A298D}">
  <dimension ref="A1:H28"/>
  <sheetViews>
    <sheetView tabSelected="1" zoomScale="130" zoomScaleNormal="130" workbookViewId="0">
      <selection activeCell="D29" sqref="D29"/>
    </sheetView>
  </sheetViews>
  <sheetFormatPr defaultRowHeight="15"/>
  <cols>
    <col min="1" max="1" width="9.140625" style="59"/>
    <col min="2" max="2" width="60.7109375" style="3" customWidth="1"/>
    <col min="3" max="3" width="8.85546875" style="59" bestFit="1" customWidth="1"/>
    <col min="4" max="4" width="34.42578125" style="3" customWidth="1"/>
  </cols>
  <sheetData>
    <row r="1" spans="1:8">
      <c r="F1" t="s">
        <v>408</v>
      </c>
    </row>
    <row r="2" spans="1:8">
      <c r="G2" t="s">
        <v>409</v>
      </c>
    </row>
    <row r="3" spans="1:8">
      <c r="G3" t="s">
        <v>410</v>
      </c>
      <c r="H3" t="s">
        <v>411</v>
      </c>
    </row>
    <row r="4" spans="1:8">
      <c r="G4" t="s">
        <v>412</v>
      </c>
      <c r="H4" t="s">
        <v>413</v>
      </c>
    </row>
    <row r="6" spans="1:8">
      <c r="A6" s="78" t="s">
        <v>414</v>
      </c>
      <c r="B6" s="78" t="s">
        <v>415</v>
      </c>
      <c r="C6" s="78" t="s">
        <v>416</v>
      </c>
      <c r="D6" s="78" t="s">
        <v>417</v>
      </c>
    </row>
    <row r="7" spans="1:8">
      <c r="A7" s="78" t="s">
        <v>418</v>
      </c>
      <c r="B7" s="54" t="s">
        <v>419</v>
      </c>
      <c r="C7" s="78" t="s">
        <v>418</v>
      </c>
      <c r="D7" s="78" t="s">
        <v>418</v>
      </c>
    </row>
    <row r="8" spans="1:8">
      <c r="A8" s="58" t="s">
        <v>420</v>
      </c>
      <c r="B8" s="2" t="s">
        <v>421</v>
      </c>
      <c r="C8" s="58" t="s">
        <v>422</v>
      </c>
      <c r="D8" s="78" t="s">
        <v>418</v>
      </c>
    </row>
    <row r="9" spans="1:8">
      <c r="A9" s="58" t="s">
        <v>423</v>
      </c>
      <c r="B9" s="2" t="s">
        <v>424</v>
      </c>
      <c r="C9" s="58" t="s">
        <v>425</v>
      </c>
      <c r="D9" s="2" t="s">
        <v>426</v>
      </c>
    </row>
    <row r="10" spans="1:8" ht="60.75">
      <c r="A10" s="58" t="s">
        <v>427</v>
      </c>
      <c r="B10" s="2" t="s">
        <v>428</v>
      </c>
      <c r="C10" s="58" t="s">
        <v>429</v>
      </c>
      <c r="D10" s="2" t="s">
        <v>430</v>
      </c>
    </row>
    <row r="11" spans="1:8" ht="45.75">
      <c r="A11" s="98" t="s">
        <v>431</v>
      </c>
      <c r="B11" s="100" t="s">
        <v>432</v>
      </c>
      <c r="C11" s="99" t="s">
        <v>425</v>
      </c>
      <c r="D11" s="100" t="s">
        <v>433</v>
      </c>
    </row>
    <row r="12" spans="1:8">
      <c r="A12" s="78" t="s">
        <v>418</v>
      </c>
      <c r="B12" s="78" t="s">
        <v>418</v>
      </c>
      <c r="C12" s="78" t="s">
        <v>418</v>
      </c>
      <c r="D12" s="60" t="s">
        <v>418</v>
      </c>
    </row>
    <row r="13" spans="1:8">
      <c r="A13" s="78" t="s">
        <v>418</v>
      </c>
      <c r="B13" s="54" t="s">
        <v>434</v>
      </c>
      <c r="C13" s="78" t="s">
        <v>418</v>
      </c>
      <c r="D13" s="78" t="s">
        <v>418</v>
      </c>
    </row>
    <row r="14" spans="1:8">
      <c r="A14" s="58" t="s">
        <v>420</v>
      </c>
      <c r="B14" s="2" t="s">
        <v>435</v>
      </c>
      <c r="C14" s="58" t="s">
        <v>422</v>
      </c>
      <c r="D14" s="78" t="s">
        <v>418</v>
      </c>
    </row>
    <row r="15" spans="1:8">
      <c r="A15" s="58" t="s">
        <v>436</v>
      </c>
      <c r="B15" s="2" t="s">
        <v>437</v>
      </c>
      <c r="C15" s="58" t="s">
        <v>422</v>
      </c>
      <c r="D15" s="78" t="s">
        <v>418</v>
      </c>
    </row>
    <row r="16" spans="1:8">
      <c r="A16" s="58" t="s">
        <v>1</v>
      </c>
      <c r="B16" s="2" t="s">
        <v>438</v>
      </c>
      <c r="C16" s="58" t="s">
        <v>422</v>
      </c>
      <c r="D16" s="78" t="s">
        <v>418</v>
      </c>
    </row>
    <row r="17" spans="1:4" ht="45.75">
      <c r="A17" s="58" t="s">
        <v>431</v>
      </c>
      <c r="B17" s="2" t="s">
        <v>439</v>
      </c>
      <c r="C17" s="58" t="s">
        <v>440</v>
      </c>
      <c r="D17" s="104" t="s">
        <v>441</v>
      </c>
    </row>
    <row r="18" spans="1:4">
      <c r="A18" s="78" t="s">
        <v>418</v>
      </c>
      <c r="B18" s="78" t="s">
        <v>418</v>
      </c>
      <c r="C18" s="78" t="s">
        <v>418</v>
      </c>
      <c r="D18" s="78" t="s">
        <v>418</v>
      </c>
    </row>
    <row r="19" spans="1:4">
      <c r="A19" s="78" t="s">
        <v>418</v>
      </c>
      <c r="B19" s="5" t="s">
        <v>442</v>
      </c>
      <c r="C19" s="78" t="s">
        <v>418</v>
      </c>
      <c r="D19" s="78" t="s">
        <v>418</v>
      </c>
    </row>
    <row r="20" spans="1:4">
      <c r="A20" s="58" t="s">
        <v>420</v>
      </c>
      <c r="B20" s="2" t="s">
        <v>435</v>
      </c>
      <c r="C20" s="58" t="s">
        <v>422</v>
      </c>
      <c r="D20" s="78" t="s">
        <v>418</v>
      </c>
    </row>
    <row r="21" spans="1:4">
      <c r="A21" s="59" t="s">
        <v>1</v>
      </c>
      <c r="B21" s="3" t="s">
        <v>443</v>
      </c>
      <c r="C21" s="59" t="s">
        <v>422</v>
      </c>
      <c r="D21" s="78" t="s">
        <v>418</v>
      </c>
    </row>
    <row r="22" spans="1:4" ht="60.75">
      <c r="A22" s="59" t="s">
        <v>431</v>
      </c>
      <c r="B22" s="2" t="s">
        <v>444</v>
      </c>
      <c r="C22" s="59" t="s">
        <v>440</v>
      </c>
      <c r="D22" s="105" t="s">
        <v>445</v>
      </c>
    </row>
    <row r="23" spans="1:4">
      <c r="A23" s="78" t="s">
        <v>418</v>
      </c>
      <c r="B23" s="78" t="s">
        <v>418</v>
      </c>
      <c r="C23" s="78" t="s">
        <v>418</v>
      </c>
      <c r="D23" s="78" t="s">
        <v>418</v>
      </c>
    </row>
    <row r="24" spans="1:4">
      <c r="A24" s="78" t="s">
        <v>418</v>
      </c>
      <c r="B24" s="5" t="s">
        <v>446</v>
      </c>
      <c r="C24" s="78" t="s">
        <v>418</v>
      </c>
      <c r="D24" s="78" t="s">
        <v>418</v>
      </c>
    </row>
    <row r="25" spans="1:4">
      <c r="A25" s="59" t="s">
        <v>420</v>
      </c>
      <c r="B25" s="2" t="s">
        <v>447</v>
      </c>
      <c r="C25" s="59" t="s">
        <v>422</v>
      </c>
      <c r="D25" s="78" t="s">
        <v>418</v>
      </c>
    </row>
    <row r="26" spans="1:4" ht="60.75">
      <c r="A26" s="83" t="s">
        <v>436</v>
      </c>
      <c r="B26" s="84" t="s">
        <v>448</v>
      </c>
      <c r="C26" s="83" t="s">
        <v>440</v>
      </c>
      <c r="D26" s="84" t="s">
        <v>449</v>
      </c>
    </row>
    <row r="27" spans="1:4" ht="45.75">
      <c r="A27" s="59" t="s">
        <v>450</v>
      </c>
      <c r="B27" s="2" t="s">
        <v>451</v>
      </c>
      <c r="C27" s="59" t="s">
        <v>440</v>
      </c>
      <c r="D27" s="2" t="s">
        <v>452</v>
      </c>
    </row>
    <row r="28" spans="1:4">
      <c r="B28"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7DB80-2C74-4BA1-B0BD-AE23CA5F2ED3}">
  <dimension ref="A1:I25"/>
  <sheetViews>
    <sheetView zoomScaleNormal="100" workbookViewId="0">
      <pane xSplit="3" ySplit="5" topLeftCell="D16" activePane="bottomRight" state="frozen"/>
      <selection pane="bottomRight" activeCell="C11" sqref="C11"/>
      <selection pane="bottomLeft" activeCell="A5" sqref="A5"/>
      <selection pane="topRight" activeCell="D1" sqref="D1"/>
    </sheetView>
  </sheetViews>
  <sheetFormatPr defaultRowHeight="15"/>
  <cols>
    <col min="1" max="1" width="3.85546875" style="59" bestFit="1" customWidth="1"/>
    <col min="2" max="2" width="20.7109375" style="2" customWidth="1"/>
    <col min="3" max="3" width="50.7109375" style="2" customWidth="1"/>
    <col min="4" max="5" width="15.7109375" style="58" customWidth="1"/>
    <col min="6" max="6" width="10.7109375" style="59" customWidth="1"/>
    <col min="7" max="7" width="50.7109375" style="2" customWidth="1"/>
    <col min="8" max="8" width="10" style="3" bestFit="1" customWidth="1"/>
    <col min="9" max="16384" width="9.140625" style="3"/>
  </cols>
  <sheetData>
    <row r="1" spans="1:9">
      <c r="B1" s="2" t="s">
        <v>453</v>
      </c>
      <c r="C1" s="2" t="s">
        <v>454</v>
      </c>
    </row>
    <row r="2" spans="1:9">
      <c r="B2" s="54" t="s">
        <v>455</v>
      </c>
      <c r="C2" s="2" t="s">
        <v>419</v>
      </c>
    </row>
    <row r="3" spans="1:9">
      <c r="B3" s="54" t="s">
        <v>0</v>
      </c>
      <c r="C3" s="2" t="s">
        <v>456</v>
      </c>
      <c r="H3" s="5" t="s">
        <v>457</v>
      </c>
      <c r="I3" s="3" t="s">
        <v>458</v>
      </c>
    </row>
    <row r="5" spans="1:9" s="59" customFormat="1">
      <c r="A5" s="66" t="s">
        <v>289</v>
      </c>
      <c r="B5" s="66" t="s">
        <v>290</v>
      </c>
      <c r="C5" s="68" t="s">
        <v>459</v>
      </c>
      <c r="D5" s="66" t="s">
        <v>460</v>
      </c>
      <c r="E5" s="66" t="s">
        <v>461</v>
      </c>
      <c r="F5" s="67" t="s">
        <v>294</v>
      </c>
      <c r="G5" s="60" t="s">
        <v>462</v>
      </c>
    </row>
    <row r="6" spans="1:9">
      <c r="A6" s="61" t="s">
        <v>418</v>
      </c>
      <c r="B6" s="61" t="s">
        <v>418</v>
      </c>
      <c r="C6" s="64" t="s">
        <v>463</v>
      </c>
      <c r="D6" s="61" t="s">
        <v>418</v>
      </c>
      <c r="E6" s="61" t="s">
        <v>418</v>
      </c>
      <c r="F6" s="62" t="s">
        <v>418</v>
      </c>
      <c r="G6" s="61" t="s">
        <v>418</v>
      </c>
    </row>
    <row r="7" spans="1:9" ht="45">
      <c r="A7" s="61">
        <v>1</v>
      </c>
      <c r="B7" s="63" t="s">
        <v>17</v>
      </c>
      <c r="C7" s="65" t="s">
        <v>464</v>
      </c>
      <c r="D7" s="61" t="s">
        <v>463</v>
      </c>
      <c r="E7" s="61" t="s">
        <v>465</v>
      </c>
      <c r="F7" s="61" t="s">
        <v>90</v>
      </c>
      <c r="G7" s="61" t="s">
        <v>418</v>
      </c>
    </row>
    <row r="8" spans="1:9" ht="45">
      <c r="A8" s="61">
        <f t="shared" ref="A8:A25" si="0">IF(B8 &lt;&gt; "", A7+1, "-")</f>
        <v>2</v>
      </c>
      <c r="B8" s="63" t="s">
        <v>24</v>
      </c>
      <c r="C8" s="65" t="s">
        <v>466</v>
      </c>
      <c r="D8" s="61" t="s">
        <v>463</v>
      </c>
      <c r="E8" s="61" t="s">
        <v>467</v>
      </c>
      <c r="F8" s="61" t="s">
        <v>315</v>
      </c>
      <c r="G8" s="63" t="s">
        <v>468</v>
      </c>
    </row>
    <row r="9" spans="1:9" ht="76.5">
      <c r="A9" s="101">
        <f t="shared" si="0"/>
        <v>3</v>
      </c>
      <c r="B9" s="102" t="s">
        <v>469</v>
      </c>
      <c r="C9" s="103" t="s">
        <v>470</v>
      </c>
      <c r="D9" s="101" t="s">
        <v>463</v>
      </c>
      <c r="E9" s="101" t="s">
        <v>471</v>
      </c>
      <c r="F9" s="101" t="s">
        <v>90</v>
      </c>
      <c r="G9" s="101" t="s">
        <v>418</v>
      </c>
    </row>
    <row r="10" spans="1:9" ht="45.75">
      <c r="A10" s="61">
        <f t="shared" si="0"/>
        <v>4</v>
      </c>
      <c r="B10" s="63" t="s">
        <v>472</v>
      </c>
      <c r="C10" s="65" t="s">
        <v>473</v>
      </c>
      <c r="D10" s="61" t="s">
        <v>463</v>
      </c>
      <c r="E10" s="61" t="s">
        <v>471</v>
      </c>
      <c r="F10" s="61" t="s">
        <v>90</v>
      </c>
      <c r="G10" s="61" t="s">
        <v>418</v>
      </c>
    </row>
    <row r="11" spans="1:9" ht="45.75">
      <c r="A11" s="61">
        <f t="shared" si="0"/>
        <v>5</v>
      </c>
      <c r="B11" s="63" t="s">
        <v>474</v>
      </c>
      <c r="C11" s="65" t="s">
        <v>475</v>
      </c>
      <c r="D11" s="61" t="s">
        <v>463</v>
      </c>
      <c r="E11" s="61" t="s">
        <v>476</v>
      </c>
      <c r="F11" s="61" t="s">
        <v>90</v>
      </c>
      <c r="G11" s="61" t="s">
        <v>418</v>
      </c>
    </row>
    <row r="12" spans="1:9" ht="60">
      <c r="A12" s="61">
        <f t="shared" si="0"/>
        <v>6</v>
      </c>
      <c r="B12" s="63" t="s">
        <v>477</v>
      </c>
      <c r="C12" s="65" t="s">
        <v>478</v>
      </c>
      <c r="D12" s="61" t="s">
        <v>463</v>
      </c>
      <c r="E12" s="61" t="s">
        <v>479</v>
      </c>
      <c r="F12" s="61" t="s">
        <v>90</v>
      </c>
      <c r="G12" s="61" t="s">
        <v>418</v>
      </c>
    </row>
    <row r="13" spans="1:9" ht="30">
      <c r="A13" s="61">
        <v>7</v>
      </c>
      <c r="B13" s="63" t="s">
        <v>480</v>
      </c>
      <c r="C13" s="65" t="s">
        <v>481</v>
      </c>
      <c r="D13" s="61" t="s">
        <v>463</v>
      </c>
      <c r="E13" s="61" t="s">
        <v>467</v>
      </c>
      <c r="F13" s="61" t="s">
        <v>90</v>
      </c>
      <c r="G13" s="75" t="s">
        <v>482</v>
      </c>
    </row>
    <row r="14" spans="1:9" ht="60">
      <c r="A14" s="61">
        <v>8</v>
      </c>
      <c r="B14" s="63" t="s">
        <v>87</v>
      </c>
      <c r="C14" s="65" t="s">
        <v>483</v>
      </c>
      <c r="D14" s="61" t="s">
        <v>463</v>
      </c>
      <c r="E14" s="61" t="s">
        <v>479</v>
      </c>
      <c r="F14" s="61" t="s">
        <v>90</v>
      </c>
      <c r="G14" s="61" t="s">
        <v>418</v>
      </c>
    </row>
    <row r="15" spans="1:9">
      <c r="A15" s="61" t="s">
        <v>418</v>
      </c>
      <c r="B15" s="61" t="s">
        <v>418</v>
      </c>
      <c r="C15" s="64" t="s">
        <v>484</v>
      </c>
      <c r="D15" s="61" t="s">
        <v>418</v>
      </c>
      <c r="E15" s="61" t="s">
        <v>418</v>
      </c>
      <c r="F15" s="61" t="s">
        <v>418</v>
      </c>
      <c r="G15" s="61" t="s">
        <v>418</v>
      </c>
    </row>
    <row r="16" spans="1:9" ht="75">
      <c r="A16" s="61">
        <f>A14+1</f>
        <v>9</v>
      </c>
      <c r="B16" s="63" t="s">
        <v>485</v>
      </c>
      <c r="C16" s="65" t="s">
        <v>486</v>
      </c>
      <c r="D16" s="61" t="s">
        <v>484</v>
      </c>
      <c r="E16" s="61" t="s">
        <v>487</v>
      </c>
      <c r="F16" s="61" t="s">
        <v>90</v>
      </c>
      <c r="G16" s="63" t="s">
        <v>488</v>
      </c>
    </row>
    <row r="17" spans="1:7" ht="45">
      <c r="A17" s="61">
        <f t="shared" si="0"/>
        <v>10</v>
      </c>
      <c r="B17" s="63" t="s">
        <v>489</v>
      </c>
      <c r="C17" s="65" t="s">
        <v>490</v>
      </c>
      <c r="D17" s="61" t="s">
        <v>484</v>
      </c>
      <c r="E17" s="61" t="s">
        <v>476</v>
      </c>
      <c r="F17" s="61" t="s">
        <v>90</v>
      </c>
      <c r="G17" s="63" t="s">
        <v>491</v>
      </c>
    </row>
    <row r="18" spans="1:7" ht="45">
      <c r="A18" s="61">
        <f t="shared" si="0"/>
        <v>11</v>
      </c>
      <c r="B18" s="63" t="s">
        <v>492</v>
      </c>
      <c r="C18" s="65" t="s">
        <v>493</v>
      </c>
      <c r="D18" s="61" t="s">
        <v>484</v>
      </c>
      <c r="E18" s="61" t="s">
        <v>479</v>
      </c>
      <c r="F18" s="62" t="s">
        <v>99</v>
      </c>
      <c r="G18" s="61" t="s">
        <v>418</v>
      </c>
    </row>
    <row r="19" spans="1:7">
      <c r="A19" s="61" t="s">
        <v>418</v>
      </c>
      <c r="B19" s="61" t="s">
        <v>418</v>
      </c>
      <c r="C19" s="64" t="s">
        <v>494</v>
      </c>
      <c r="D19" s="61" t="s">
        <v>418</v>
      </c>
      <c r="E19" s="61" t="s">
        <v>418</v>
      </c>
      <c r="F19" s="61" t="s">
        <v>418</v>
      </c>
      <c r="G19" s="61" t="s">
        <v>418</v>
      </c>
    </row>
    <row r="20" spans="1:7" ht="60.75">
      <c r="A20" s="101">
        <f>A18+1</f>
        <v>12</v>
      </c>
      <c r="B20" s="102" t="s">
        <v>495</v>
      </c>
      <c r="C20" s="103" t="s">
        <v>496</v>
      </c>
      <c r="D20" s="101" t="s">
        <v>494</v>
      </c>
      <c r="E20" s="101" t="s">
        <v>497</v>
      </c>
      <c r="F20" s="101" t="s">
        <v>90</v>
      </c>
      <c r="G20" s="101" t="s">
        <v>418</v>
      </c>
    </row>
    <row r="21" spans="1:7">
      <c r="A21" s="61" t="s">
        <v>418</v>
      </c>
      <c r="B21" s="61" t="s">
        <v>418</v>
      </c>
      <c r="C21" s="64" t="s">
        <v>498</v>
      </c>
      <c r="D21" s="61" t="s">
        <v>418</v>
      </c>
      <c r="E21" s="61" t="s">
        <v>418</v>
      </c>
      <c r="F21" s="61" t="s">
        <v>418</v>
      </c>
      <c r="G21" s="61" t="s">
        <v>418</v>
      </c>
    </row>
    <row r="22" spans="1:7" ht="30">
      <c r="A22" s="61">
        <f>A20+1</f>
        <v>13</v>
      </c>
      <c r="B22" s="63" t="s">
        <v>499</v>
      </c>
      <c r="C22" s="65" t="s">
        <v>500</v>
      </c>
      <c r="D22" s="61" t="s">
        <v>501</v>
      </c>
      <c r="E22" s="61" t="s">
        <v>418</v>
      </c>
      <c r="F22" s="61" t="s">
        <v>90</v>
      </c>
      <c r="G22" s="61" t="s">
        <v>502</v>
      </c>
    </row>
    <row r="23" spans="1:7" ht="45">
      <c r="A23" s="61">
        <f t="shared" si="0"/>
        <v>14</v>
      </c>
      <c r="B23" s="63" t="s">
        <v>503</v>
      </c>
      <c r="C23" s="65" t="s">
        <v>504</v>
      </c>
      <c r="D23" s="61" t="s">
        <v>501</v>
      </c>
      <c r="E23" s="61" t="s">
        <v>418</v>
      </c>
      <c r="F23" s="61" t="s">
        <v>90</v>
      </c>
      <c r="G23" s="61" t="s">
        <v>418</v>
      </c>
    </row>
    <row r="24" spans="1:7" ht="45">
      <c r="A24" s="61">
        <f t="shared" si="0"/>
        <v>15</v>
      </c>
      <c r="B24" s="63" t="s">
        <v>505</v>
      </c>
      <c r="C24" s="65" t="s">
        <v>506</v>
      </c>
      <c r="D24" s="61" t="s">
        <v>501</v>
      </c>
      <c r="E24" s="61" t="s">
        <v>418</v>
      </c>
      <c r="F24" s="61" t="s">
        <v>90</v>
      </c>
      <c r="G24" s="61" t="s">
        <v>418</v>
      </c>
    </row>
    <row r="25" spans="1:7" ht="45">
      <c r="A25" s="61">
        <f t="shared" si="0"/>
        <v>16</v>
      </c>
      <c r="B25" s="63" t="s">
        <v>507</v>
      </c>
      <c r="C25" s="65" t="s">
        <v>508</v>
      </c>
      <c r="D25" s="61" t="s">
        <v>501</v>
      </c>
      <c r="E25" s="61" t="s">
        <v>418</v>
      </c>
      <c r="F25" s="61" t="s">
        <v>99</v>
      </c>
      <c r="G25" s="61" t="s">
        <v>418</v>
      </c>
    </row>
  </sheetData>
  <phoneticPr fontId="1" type="noConversion"/>
  <conditionalFormatting sqref="F7:F25">
    <cfRule type="cellIs" dxfId="2" priority="1" operator="equal">
      <formula>"MEDIUM"</formula>
    </cfRule>
    <cfRule type="cellIs" dxfId="1" priority="2" operator="equal">
      <formula>"LOW"</formula>
    </cfRule>
    <cfRule type="cellIs" dxfId="0" priority="3" operator="equal">
      <formula>"HIGH"</formula>
    </cfRule>
  </conditionalFormatting>
  <dataValidations count="2">
    <dataValidation type="list" allowBlank="1" showInputMessage="1" showErrorMessage="1" sqref="D22:D25 D16:D18 D20 D7:D14" xr:uid="{52B9802C-ADFF-468B-B0D9-73A5482BE70C}">
      <formula1>"Functional Requirement,Performance Requirement,Safety Requirement,System Constraint"</formula1>
    </dataValidation>
    <dataValidation type="list" allowBlank="1" showInputMessage="1" showErrorMessage="1" sqref="F7:F14 F16:F17 F20 F22:F25" xr:uid="{DA4FB861-394E-4018-A39B-1BF0FCB54CD5}">
      <formula1>"HIGH,MEDIUM,LOW"</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4576-8765-4C18-B989-87D2B9F485B8}">
  <dimension ref="A1:G16"/>
  <sheetViews>
    <sheetView topLeftCell="A8" zoomScale="115" zoomScaleNormal="115" workbookViewId="0">
      <selection activeCell="C18" sqref="C18"/>
    </sheetView>
  </sheetViews>
  <sheetFormatPr defaultRowHeight="15"/>
  <cols>
    <col min="1" max="1" width="5.7109375" customWidth="1"/>
    <col min="2" max="2" width="15.42578125" customWidth="1"/>
    <col min="3" max="3" width="20.7109375" customWidth="1"/>
    <col min="4" max="4" width="20.7109375" style="1" customWidth="1"/>
    <col min="5" max="5" width="9.140625" style="59"/>
    <col min="6" max="6" width="40.7109375" customWidth="1"/>
    <col min="7" max="7" width="20.7109375" style="59" customWidth="1"/>
  </cols>
  <sheetData>
    <row r="1" spans="1:7">
      <c r="B1" t="s">
        <v>455</v>
      </c>
      <c r="C1" t="s">
        <v>509</v>
      </c>
    </row>
    <row r="2" spans="1:7">
      <c r="B2" t="s">
        <v>0</v>
      </c>
      <c r="C2" t="s">
        <v>279</v>
      </c>
    </row>
    <row r="3" spans="1:7">
      <c r="B3" s="79" t="s">
        <v>510</v>
      </c>
    </row>
    <row r="6" spans="1:7">
      <c r="A6" s="66" t="s">
        <v>511</v>
      </c>
      <c r="B6" s="66" t="s">
        <v>290</v>
      </c>
      <c r="C6" s="66" t="s">
        <v>512</v>
      </c>
      <c r="D6" s="66" t="s">
        <v>513</v>
      </c>
      <c r="E6" s="66" t="s">
        <v>339</v>
      </c>
      <c r="F6" s="66" t="s">
        <v>514</v>
      </c>
      <c r="G6" s="66" t="s">
        <v>337</v>
      </c>
    </row>
    <row r="7" spans="1:7" ht="30">
      <c r="A7" s="62">
        <v>1</v>
      </c>
      <c r="B7" s="62" t="s">
        <v>515</v>
      </c>
      <c r="C7" s="62" t="s">
        <v>516</v>
      </c>
      <c r="D7" s="61" t="s">
        <v>342</v>
      </c>
      <c r="E7" s="62" t="s">
        <v>517</v>
      </c>
      <c r="F7" s="71" t="s">
        <v>518</v>
      </c>
      <c r="G7" s="61" t="s">
        <v>519</v>
      </c>
    </row>
    <row r="8" spans="1:7" ht="60.75">
      <c r="A8" s="62">
        <v>2</v>
      </c>
      <c r="B8" s="62" t="s">
        <v>520</v>
      </c>
      <c r="C8" s="74" t="s">
        <v>521</v>
      </c>
      <c r="D8" s="61" t="s">
        <v>522</v>
      </c>
      <c r="E8" s="62" t="s">
        <v>523</v>
      </c>
      <c r="F8" s="72" t="s">
        <v>524</v>
      </c>
      <c r="G8" s="61" t="s">
        <v>525</v>
      </c>
    </row>
    <row r="9" spans="1:7" ht="30">
      <c r="A9" s="62">
        <v>3</v>
      </c>
      <c r="B9" s="62" t="s">
        <v>526</v>
      </c>
      <c r="C9" s="74" t="s">
        <v>527</v>
      </c>
      <c r="D9" s="61" t="s">
        <v>528</v>
      </c>
      <c r="E9" s="62" t="s">
        <v>106</v>
      </c>
      <c r="F9" s="72" t="s">
        <v>529</v>
      </c>
      <c r="G9" s="61" t="s">
        <v>530</v>
      </c>
    </row>
    <row r="10" spans="1:7" ht="45">
      <c r="A10" s="62">
        <v>4</v>
      </c>
      <c r="B10" s="62" t="s">
        <v>531</v>
      </c>
      <c r="C10" s="62" t="s">
        <v>465</v>
      </c>
      <c r="D10" s="61" t="s">
        <v>532</v>
      </c>
      <c r="E10" s="62" t="s">
        <v>517</v>
      </c>
      <c r="F10" s="72" t="s">
        <v>533</v>
      </c>
      <c r="G10" s="61" t="s">
        <v>534</v>
      </c>
    </row>
    <row r="11" spans="1:7" ht="45.75">
      <c r="A11" s="62">
        <v>5</v>
      </c>
      <c r="B11" s="62" t="s">
        <v>535</v>
      </c>
      <c r="C11" s="74" t="s">
        <v>527</v>
      </c>
      <c r="D11" s="61" t="s">
        <v>536</v>
      </c>
      <c r="E11" s="62" t="s">
        <v>517</v>
      </c>
      <c r="F11" s="72" t="s">
        <v>537</v>
      </c>
      <c r="G11" s="62" t="s">
        <v>469</v>
      </c>
    </row>
    <row r="12" spans="1:7" ht="60.75">
      <c r="A12" s="62">
        <v>6</v>
      </c>
      <c r="B12" s="62" t="s">
        <v>538</v>
      </c>
      <c r="C12" s="74" t="s">
        <v>527</v>
      </c>
      <c r="D12" s="61" t="s">
        <v>539</v>
      </c>
      <c r="E12" s="62" t="s">
        <v>517</v>
      </c>
      <c r="F12" s="72" t="s">
        <v>540</v>
      </c>
      <c r="G12" s="62" t="s">
        <v>87</v>
      </c>
    </row>
    <row r="13" spans="1:7" ht="45.75">
      <c r="A13" s="62">
        <v>7</v>
      </c>
      <c r="B13" s="62" t="s">
        <v>541</v>
      </c>
      <c r="C13" s="62" t="s">
        <v>471</v>
      </c>
      <c r="D13" s="61" t="s">
        <v>542</v>
      </c>
      <c r="E13" s="62" t="s">
        <v>517</v>
      </c>
      <c r="F13" s="72" t="s">
        <v>543</v>
      </c>
      <c r="G13" s="61" t="s">
        <v>544</v>
      </c>
    </row>
    <row r="14" spans="1:7" ht="30">
      <c r="A14" s="62">
        <v>9</v>
      </c>
      <c r="B14" s="62" t="s">
        <v>545</v>
      </c>
      <c r="C14" s="74" t="s">
        <v>527</v>
      </c>
      <c r="D14" s="61" t="s">
        <v>546</v>
      </c>
      <c r="E14" s="62" t="s">
        <v>517</v>
      </c>
      <c r="F14" s="72" t="s">
        <v>547</v>
      </c>
      <c r="G14" s="61" t="s">
        <v>548</v>
      </c>
    </row>
    <row r="15" spans="1:7" ht="30">
      <c r="A15" s="62">
        <v>10</v>
      </c>
      <c r="B15" s="62" t="s">
        <v>549</v>
      </c>
      <c r="C15" s="62" t="s">
        <v>550</v>
      </c>
      <c r="D15" s="61" t="s">
        <v>368</v>
      </c>
      <c r="E15" s="62" t="s">
        <v>517</v>
      </c>
      <c r="F15" s="72" t="s">
        <v>551</v>
      </c>
      <c r="G15" s="61" t="s">
        <v>552</v>
      </c>
    </row>
    <row r="16" spans="1:7" ht="30">
      <c r="A16" s="62">
        <v>11</v>
      </c>
      <c r="B16" s="62" t="s">
        <v>553</v>
      </c>
      <c r="C16" s="62" t="s">
        <v>554</v>
      </c>
      <c r="D16" s="61" t="s">
        <v>555</v>
      </c>
      <c r="E16" s="62" t="s">
        <v>517</v>
      </c>
      <c r="F16" s="73" t="s">
        <v>556</v>
      </c>
      <c r="G16" s="61" t="s">
        <v>557</v>
      </c>
    </row>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5E1-414A-4160-97B3-92E130FC300D}">
  <dimension ref="A1:F16"/>
  <sheetViews>
    <sheetView zoomScale="130" zoomScaleNormal="130" workbookViewId="0">
      <selection activeCell="A13" sqref="A13:XFD13"/>
    </sheetView>
  </sheetViews>
  <sheetFormatPr defaultRowHeight="15"/>
  <cols>
    <col min="1" max="1" width="15.7109375" customWidth="1"/>
    <col min="2" max="3" width="20.7109375" customWidth="1"/>
    <col min="4" max="4" width="10.7109375" customWidth="1"/>
    <col min="5" max="5" width="20.7109375" customWidth="1"/>
    <col min="6" max="6" width="20.7109375" style="59" customWidth="1"/>
  </cols>
  <sheetData>
    <row r="1" spans="1:6">
      <c r="A1" t="s">
        <v>455</v>
      </c>
      <c r="B1" t="s">
        <v>558</v>
      </c>
    </row>
    <row r="2" spans="1:6">
      <c r="A2" t="s">
        <v>0</v>
      </c>
      <c r="B2" t="s">
        <v>431</v>
      </c>
    </row>
    <row r="6" spans="1:6">
      <c r="A6" s="70" t="s">
        <v>290</v>
      </c>
      <c r="B6" s="70" t="s">
        <v>559</v>
      </c>
      <c r="C6" s="70" t="s">
        <v>560</v>
      </c>
      <c r="D6" s="70" t="s">
        <v>460</v>
      </c>
      <c r="E6" s="70" t="s">
        <v>561</v>
      </c>
      <c r="F6" s="66" t="s">
        <v>562</v>
      </c>
    </row>
    <row r="7" spans="1:6" s="3" customFormat="1" ht="30">
      <c r="A7" s="61" t="s">
        <v>563</v>
      </c>
      <c r="B7" s="75" t="s">
        <v>522</v>
      </c>
      <c r="C7" s="63" t="s">
        <v>342</v>
      </c>
      <c r="D7" s="61" t="s">
        <v>564</v>
      </c>
      <c r="E7" s="75" t="s">
        <v>565</v>
      </c>
      <c r="F7" s="61" t="s">
        <v>566</v>
      </c>
    </row>
    <row r="8" spans="1:6" s="3" customFormat="1" ht="30">
      <c r="A8" s="61" t="s">
        <v>567</v>
      </c>
      <c r="B8" s="75" t="s">
        <v>522</v>
      </c>
      <c r="C8" s="63" t="s">
        <v>528</v>
      </c>
      <c r="D8" s="61" t="s">
        <v>564</v>
      </c>
      <c r="E8" s="75" t="s">
        <v>568</v>
      </c>
      <c r="F8" s="61" t="s">
        <v>530</v>
      </c>
    </row>
    <row r="9" spans="1:6" s="3" customFormat="1" ht="30">
      <c r="A9" s="61" t="s">
        <v>569</v>
      </c>
      <c r="B9" s="75" t="s">
        <v>532</v>
      </c>
      <c r="C9" s="63" t="s">
        <v>342</v>
      </c>
      <c r="D9" s="61" t="s">
        <v>570</v>
      </c>
      <c r="E9" s="73" t="s">
        <v>571</v>
      </c>
      <c r="F9" s="61" t="s">
        <v>17</v>
      </c>
    </row>
    <row r="10" spans="1:6" ht="30">
      <c r="A10" s="61" t="s">
        <v>572</v>
      </c>
      <c r="B10" s="80" t="s">
        <v>378</v>
      </c>
      <c r="C10" s="63" t="s">
        <v>342</v>
      </c>
      <c r="D10" s="61" t="s">
        <v>570</v>
      </c>
      <c r="E10" s="73" t="s">
        <v>573</v>
      </c>
      <c r="F10" s="62" t="s">
        <v>469</v>
      </c>
    </row>
    <row r="11" spans="1:6" ht="30.75">
      <c r="A11" s="61" t="s">
        <v>574</v>
      </c>
      <c r="B11" s="80" t="s">
        <v>575</v>
      </c>
      <c r="C11" s="63" t="s">
        <v>342</v>
      </c>
      <c r="D11" s="61" t="s">
        <v>570</v>
      </c>
      <c r="E11" s="63" t="s">
        <v>576</v>
      </c>
      <c r="F11" s="62" t="s">
        <v>474</v>
      </c>
    </row>
    <row r="12" spans="1:6" ht="30.75">
      <c r="A12" s="61" t="s">
        <v>577</v>
      </c>
      <c r="B12" s="80" t="s">
        <v>578</v>
      </c>
      <c r="C12" s="63" t="s">
        <v>342</v>
      </c>
      <c r="D12" s="61" t="s">
        <v>570</v>
      </c>
      <c r="E12" s="63" t="s">
        <v>579</v>
      </c>
      <c r="F12" s="62" t="s">
        <v>87</v>
      </c>
    </row>
    <row r="13" spans="1:6" ht="30">
      <c r="A13" s="61" t="s">
        <v>580</v>
      </c>
      <c r="B13" s="80" t="s">
        <v>342</v>
      </c>
      <c r="C13" s="63" t="s">
        <v>546</v>
      </c>
      <c r="D13" s="61" t="s">
        <v>570</v>
      </c>
      <c r="E13" s="63" t="s">
        <v>581</v>
      </c>
      <c r="F13" s="61" t="s">
        <v>582</v>
      </c>
    </row>
    <row r="14" spans="1:6" ht="30">
      <c r="A14" s="61" t="s">
        <v>583</v>
      </c>
      <c r="B14" s="80" t="s">
        <v>342</v>
      </c>
      <c r="C14" s="69" t="s">
        <v>368</v>
      </c>
      <c r="D14" s="62" t="s">
        <v>570</v>
      </c>
      <c r="E14" s="63" t="s">
        <v>584</v>
      </c>
      <c r="F14" s="62" t="s">
        <v>87</v>
      </c>
    </row>
    <row r="15" spans="1:6">
      <c r="A15" s="61" t="s">
        <v>585</v>
      </c>
      <c r="B15" s="80" t="s">
        <v>586</v>
      </c>
      <c r="C15" s="63" t="s">
        <v>342</v>
      </c>
      <c r="D15" s="61" t="s">
        <v>587</v>
      </c>
      <c r="E15" s="63" t="s">
        <v>588</v>
      </c>
      <c r="F15" s="62" t="s">
        <v>589</v>
      </c>
    </row>
    <row r="16" spans="1:6">
      <c r="A16" s="61" t="s">
        <v>590</v>
      </c>
      <c r="B16" s="80" t="s">
        <v>586</v>
      </c>
      <c r="C16" s="63" t="s">
        <v>546</v>
      </c>
      <c r="D16" s="61" t="s">
        <v>587</v>
      </c>
      <c r="E16" s="63" t="s">
        <v>588</v>
      </c>
      <c r="F16" s="62" t="s">
        <v>469</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3210-FD97-4E46-A4AE-BD39043CC482}">
  <dimension ref="A1:K17"/>
  <sheetViews>
    <sheetView zoomScaleNormal="100" workbookViewId="0">
      <pane xSplit="3" ySplit="6" topLeftCell="K7" activePane="bottomRight" state="frozen"/>
      <selection pane="bottomRight" activeCell="C9" sqref="C9"/>
      <selection pane="bottomLeft" activeCell="A7" sqref="A7"/>
      <selection pane="topRight" activeCell="D1" sqref="D1"/>
    </sheetView>
  </sheetViews>
  <sheetFormatPr defaultRowHeight="15"/>
  <cols>
    <col min="1" max="1" width="5.7109375" style="3" customWidth="1"/>
    <col min="2" max="3" width="15.7109375" style="3" customWidth="1"/>
    <col min="4" max="6" width="30.7109375" style="3" customWidth="1"/>
    <col min="7" max="7" width="40.7109375" style="3" customWidth="1"/>
    <col min="8" max="8" width="30.7109375" style="3" customWidth="1"/>
    <col min="9" max="9" width="40.7109375" style="3" customWidth="1"/>
    <col min="10" max="10" width="20.7109375" style="3" customWidth="1"/>
    <col min="11" max="11" width="30.7109375" style="3" customWidth="1"/>
    <col min="12" max="13" width="9.140625" style="3"/>
    <col min="14" max="14" width="22.28515625" style="3" customWidth="1"/>
    <col min="15" max="16384" width="9.140625" style="3"/>
  </cols>
  <sheetData>
    <row r="1" spans="1:11">
      <c r="B1" s="5" t="s">
        <v>455</v>
      </c>
      <c r="C1" s="3" t="s">
        <v>591</v>
      </c>
      <c r="E1" s="5" t="s">
        <v>592</v>
      </c>
      <c r="F1" s="3" t="s">
        <v>593</v>
      </c>
    </row>
    <row r="2" spans="1:11">
      <c r="B2" s="5" t="s">
        <v>0</v>
      </c>
      <c r="C2" s="3" t="s">
        <v>450</v>
      </c>
    </row>
    <row r="6" spans="1:11">
      <c r="A6" s="66" t="s">
        <v>511</v>
      </c>
      <c r="B6" s="66" t="s">
        <v>290</v>
      </c>
      <c r="C6" s="66" t="s">
        <v>594</v>
      </c>
      <c r="D6" s="66" t="s">
        <v>340</v>
      </c>
      <c r="E6" s="66" t="s">
        <v>595</v>
      </c>
      <c r="F6" s="66" t="s">
        <v>596</v>
      </c>
      <c r="G6" s="66" t="s">
        <v>597</v>
      </c>
      <c r="H6" s="66" t="s">
        <v>598</v>
      </c>
      <c r="I6" s="66" t="s">
        <v>599</v>
      </c>
      <c r="J6" s="66" t="s">
        <v>337</v>
      </c>
      <c r="K6" s="66" t="s">
        <v>600</v>
      </c>
    </row>
    <row r="7" spans="1:11" ht="76.5">
      <c r="A7" s="85">
        <v>1</v>
      </c>
      <c r="B7" s="86" t="s">
        <v>601</v>
      </c>
      <c r="C7" s="86" t="s">
        <v>602</v>
      </c>
      <c r="D7" s="87" t="s">
        <v>603</v>
      </c>
      <c r="E7" s="87" t="s">
        <v>604</v>
      </c>
      <c r="F7" s="87" t="s">
        <v>605</v>
      </c>
      <c r="G7" s="87" t="s">
        <v>606</v>
      </c>
      <c r="H7" s="87" t="s">
        <v>607</v>
      </c>
      <c r="I7" s="87" t="s">
        <v>608</v>
      </c>
      <c r="J7" s="86" t="s">
        <v>507</v>
      </c>
      <c r="K7" s="88" t="s">
        <v>609</v>
      </c>
    </row>
    <row r="8" spans="1:11" ht="76.5">
      <c r="A8" s="89">
        <v>2</v>
      </c>
      <c r="B8" s="90" t="s">
        <v>610</v>
      </c>
      <c r="C8" s="90" t="s">
        <v>611</v>
      </c>
      <c r="D8" s="91" t="s">
        <v>612</v>
      </c>
      <c r="E8" s="91" t="s">
        <v>613</v>
      </c>
      <c r="F8" s="91" t="s">
        <v>614</v>
      </c>
      <c r="G8" s="91" t="s">
        <v>615</v>
      </c>
      <c r="H8" s="91" t="s">
        <v>616</v>
      </c>
      <c r="I8" s="91" t="s">
        <v>617</v>
      </c>
      <c r="J8" s="90" t="s">
        <v>618</v>
      </c>
      <c r="K8" s="92" t="s">
        <v>619</v>
      </c>
    </row>
    <row r="9" spans="1:11" ht="60.75">
      <c r="A9" s="89">
        <v>3</v>
      </c>
      <c r="B9" s="90" t="s">
        <v>620</v>
      </c>
      <c r="C9" s="90" t="s">
        <v>621</v>
      </c>
      <c r="D9" s="91" t="s">
        <v>622</v>
      </c>
      <c r="E9" s="91" t="s">
        <v>623</v>
      </c>
      <c r="F9" s="91" t="s">
        <v>624</v>
      </c>
      <c r="G9" s="91" t="s">
        <v>625</v>
      </c>
      <c r="H9" s="91" t="s">
        <v>626</v>
      </c>
      <c r="I9" s="91" t="s">
        <v>627</v>
      </c>
      <c r="J9" s="90" t="s">
        <v>87</v>
      </c>
      <c r="K9" s="92"/>
    </row>
    <row r="10" spans="1:11" ht="91.5">
      <c r="A10" s="89">
        <v>4</v>
      </c>
      <c r="B10" s="90" t="s">
        <v>628</v>
      </c>
      <c r="C10" s="90" t="s">
        <v>629</v>
      </c>
      <c r="D10" s="91" t="s">
        <v>630</v>
      </c>
      <c r="E10" s="91" t="s">
        <v>631</v>
      </c>
      <c r="F10" s="91" t="s">
        <v>632</v>
      </c>
      <c r="G10" s="91" t="s">
        <v>633</v>
      </c>
      <c r="H10" s="91" t="s">
        <v>634</v>
      </c>
      <c r="I10" s="91" t="s">
        <v>635</v>
      </c>
      <c r="J10" s="90" t="s">
        <v>636</v>
      </c>
      <c r="K10" s="92" t="s">
        <v>637</v>
      </c>
    </row>
    <row r="11" spans="1:11" ht="76.5">
      <c r="A11" s="89">
        <v>5</v>
      </c>
      <c r="B11" s="90" t="s">
        <v>638</v>
      </c>
      <c r="C11" s="90" t="s">
        <v>639</v>
      </c>
      <c r="D11" s="91" t="s">
        <v>640</v>
      </c>
      <c r="E11" s="91" t="s">
        <v>641</v>
      </c>
      <c r="F11" s="91" t="s">
        <v>642</v>
      </c>
      <c r="G11" s="91" t="s">
        <v>643</v>
      </c>
      <c r="H11" s="91" t="s">
        <v>644</v>
      </c>
      <c r="I11" s="91" t="s">
        <v>645</v>
      </c>
      <c r="J11" s="90" t="s">
        <v>646</v>
      </c>
      <c r="K11" s="92" t="s">
        <v>647</v>
      </c>
    </row>
    <row r="12" spans="1:11" ht="60.75">
      <c r="A12" s="93">
        <v>6</v>
      </c>
      <c r="B12" s="94" t="s">
        <v>648</v>
      </c>
      <c r="C12" s="94" t="s">
        <v>649</v>
      </c>
      <c r="D12" s="95" t="s">
        <v>650</v>
      </c>
      <c r="E12" s="95" t="s">
        <v>651</v>
      </c>
      <c r="F12" s="95" t="s">
        <v>652</v>
      </c>
      <c r="G12" s="95" t="s">
        <v>653</v>
      </c>
      <c r="H12" s="95"/>
      <c r="I12" s="95" t="s">
        <v>654</v>
      </c>
      <c r="J12" s="94" t="s">
        <v>495</v>
      </c>
      <c r="K12" s="96"/>
    </row>
    <row r="13" spans="1:11">
      <c r="A13" s="59"/>
      <c r="B13" s="59"/>
      <c r="C13" s="59"/>
      <c r="D13" s="2"/>
      <c r="E13" s="2"/>
      <c r="F13" s="52"/>
      <c r="G13" s="52"/>
      <c r="H13" s="52"/>
      <c r="I13" s="52"/>
      <c r="J13" s="59"/>
      <c r="K13" s="2"/>
    </row>
    <row r="14" spans="1:11">
      <c r="A14" s="59"/>
      <c r="B14" s="59"/>
      <c r="C14" s="59"/>
      <c r="D14" s="2"/>
      <c r="E14" s="2"/>
      <c r="F14" s="52"/>
      <c r="G14" s="52"/>
      <c r="H14" s="52"/>
      <c r="I14" s="52"/>
      <c r="K14" s="2"/>
    </row>
    <row r="15" spans="1:11">
      <c r="A15" s="59"/>
      <c r="B15" s="59"/>
      <c r="C15" s="59"/>
      <c r="D15" s="2"/>
      <c r="E15" s="2"/>
      <c r="F15" s="52"/>
      <c r="G15" s="52"/>
      <c r="H15" s="52"/>
      <c r="I15" s="52"/>
      <c r="K15" s="2"/>
    </row>
    <row r="16" spans="1:11">
      <c r="A16" s="59"/>
      <c r="B16" s="59"/>
      <c r="C16" s="59"/>
      <c r="D16" s="2"/>
      <c r="E16" s="2"/>
      <c r="F16" s="52"/>
      <c r="G16" s="52"/>
      <c r="H16" s="52"/>
      <c r="I16" s="52"/>
      <c r="K16" s="2"/>
    </row>
    <row r="17" spans="1:11">
      <c r="A17" s="59"/>
      <c r="B17" s="59"/>
      <c r="C17" s="59"/>
      <c r="D17" s="2"/>
      <c r="E17" s="2"/>
      <c r="F17" s="52"/>
      <c r="G17" s="52"/>
      <c r="H17" s="52"/>
      <c r="I17" s="52"/>
      <c r="K17" s="2"/>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F282-B282-4CE0-A2C8-9C00F18CDF51}">
  <dimension ref="A1:B10"/>
  <sheetViews>
    <sheetView workbookViewId="0">
      <selection activeCell="A6" sqref="A6"/>
    </sheetView>
  </sheetViews>
  <sheetFormatPr defaultRowHeight="15"/>
  <cols>
    <col min="1" max="1" width="20.7109375" customWidth="1"/>
    <col min="2" max="2" width="50.7109375" customWidth="1"/>
  </cols>
  <sheetData>
    <row r="1" spans="1:2">
      <c r="A1" s="97" t="s">
        <v>655</v>
      </c>
      <c r="B1" s="97"/>
    </row>
    <row r="2" spans="1:2">
      <c r="A2" s="81" t="s">
        <v>290</v>
      </c>
      <c r="B2" s="82" t="s">
        <v>656</v>
      </c>
    </row>
    <row r="3" spans="1:2">
      <c r="A3" s="81" t="s">
        <v>657</v>
      </c>
      <c r="B3" s="82" t="s">
        <v>658</v>
      </c>
    </row>
    <row r="4" spans="1:2">
      <c r="A4" s="81" t="s">
        <v>340</v>
      </c>
      <c r="B4" s="82" t="s">
        <v>659</v>
      </c>
    </row>
    <row r="5" spans="1:2" ht="45">
      <c r="A5" s="81" t="s">
        <v>595</v>
      </c>
      <c r="B5" s="82" t="s">
        <v>660</v>
      </c>
    </row>
    <row r="6" spans="1:2" ht="45">
      <c r="A6" s="81" t="s">
        <v>596</v>
      </c>
      <c r="B6" s="82" t="s">
        <v>661</v>
      </c>
    </row>
    <row r="7" spans="1:2" ht="75">
      <c r="A7" s="81" t="s">
        <v>597</v>
      </c>
      <c r="B7" s="82" t="s">
        <v>662</v>
      </c>
    </row>
    <row r="8" spans="1:2">
      <c r="A8" s="81" t="s">
        <v>598</v>
      </c>
      <c r="B8" s="82" t="s">
        <v>663</v>
      </c>
    </row>
    <row r="9" spans="1:2">
      <c r="A9" s="81" t="s">
        <v>664</v>
      </c>
      <c r="B9" s="82" t="s">
        <v>665</v>
      </c>
    </row>
    <row r="10" spans="1:2" ht="30">
      <c r="A10" s="81" t="s">
        <v>337</v>
      </c>
      <c r="B10" s="82" t="s">
        <v>666</v>
      </c>
    </row>
  </sheetData>
  <mergeCells count="1">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7072-6CB6-4854-80DF-0C73070658EB}">
  <dimension ref="A2:Z21"/>
  <sheetViews>
    <sheetView zoomScale="175" zoomScaleNormal="175" workbookViewId="0">
      <selection activeCell="H20" sqref="H20"/>
    </sheetView>
  </sheetViews>
  <sheetFormatPr defaultColWidth="4" defaultRowHeight="15"/>
  <cols>
    <col min="2" max="2" width="24.42578125" customWidth="1"/>
  </cols>
  <sheetData>
    <row r="2" spans="1:26">
      <c r="A2" t="s">
        <v>667</v>
      </c>
    </row>
    <row r="3" spans="1:26">
      <c r="A3" t="s">
        <v>668</v>
      </c>
      <c r="B3" t="s">
        <v>669</v>
      </c>
      <c r="C3" t="s">
        <v>670</v>
      </c>
    </row>
    <row r="4" spans="1:26">
      <c r="A4" t="s">
        <v>671</v>
      </c>
      <c r="B4" t="s">
        <v>672</v>
      </c>
      <c r="C4" t="s">
        <v>673</v>
      </c>
      <c r="S4" t="s">
        <v>674</v>
      </c>
      <c r="W4" t="s">
        <v>675</v>
      </c>
    </row>
    <row r="5" spans="1:26">
      <c r="A5" t="s">
        <v>676</v>
      </c>
      <c r="B5" t="s">
        <v>677</v>
      </c>
      <c r="C5" s="43" t="s">
        <v>678</v>
      </c>
      <c r="I5" t="s">
        <v>679</v>
      </c>
      <c r="N5" t="s">
        <v>680</v>
      </c>
      <c r="S5" t="s">
        <v>681</v>
      </c>
    </row>
    <row r="6" spans="1:26">
      <c r="C6" s="44" t="s">
        <v>682</v>
      </c>
      <c r="Z6" t="s">
        <v>683</v>
      </c>
    </row>
    <row r="7" spans="1:26">
      <c r="A7" t="s">
        <v>684</v>
      </c>
      <c r="B7" t="s">
        <v>685</v>
      </c>
    </row>
    <row r="8" spans="1:26">
      <c r="A8" t="s">
        <v>686</v>
      </c>
      <c r="B8" t="s">
        <v>687</v>
      </c>
      <c r="C8" t="s">
        <v>688</v>
      </c>
    </row>
    <row r="9" spans="1:26">
      <c r="B9" s="4" t="s">
        <v>689</v>
      </c>
    </row>
    <row r="10" spans="1:26">
      <c r="J10" s="46"/>
      <c r="K10" s="46"/>
      <c r="L10" s="46"/>
      <c r="P10" s="46"/>
      <c r="Q10" s="46"/>
      <c r="R10" s="46"/>
      <c r="S10" s="46"/>
      <c r="W10" s="46"/>
      <c r="X10" s="46"/>
      <c r="Y10" s="46"/>
    </row>
    <row r="11" spans="1:26">
      <c r="B11" s="4" t="s">
        <v>690</v>
      </c>
      <c r="C11" t="s">
        <v>691</v>
      </c>
      <c r="E11" t="s">
        <v>692</v>
      </c>
      <c r="J11" s="46"/>
      <c r="K11" s="46"/>
      <c r="L11" s="46"/>
      <c r="P11" s="46"/>
      <c r="Q11" s="46"/>
      <c r="R11" s="46"/>
      <c r="S11" s="46"/>
      <c r="W11" s="46"/>
      <c r="X11" s="46"/>
      <c r="Y11" s="46"/>
    </row>
    <row r="12" spans="1:26">
      <c r="B12" t="s">
        <v>693</v>
      </c>
      <c r="C12" t="s">
        <v>694</v>
      </c>
    </row>
    <row r="13" spans="1:26">
      <c r="B13" t="s">
        <v>695</v>
      </c>
      <c r="C13" t="s">
        <v>696</v>
      </c>
    </row>
    <row r="14" spans="1:26">
      <c r="B14" t="s">
        <v>697</v>
      </c>
      <c r="C14" t="s">
        <v>698</v>
      </c>
    </row>
    <row r="15" spans="1:26">
      <c r="B15" t="s">
        <v>699</v>
      </c>
      <c r="C15" t="s">
        <v>700</v>
      </c>
    </row>
    <row r="16" spans="1:26">
      <c r="Q16" t="s">
        <v>701</v>
      </c>
    </row>
    <row r="17" spans="18:19">
      <c r="R17" t="s">
        <v>702</v>
      </c>
    </row>
    <row r="18" spans="18:19">
      <c r="S18" t="s">
        <v>703</v>
      </c>
    </row>
    <row r="19" spans="18:19">
      <c r="S19" t="s">
        <v>704</v>
      </c>
    </row>
    <row r="20" spans="18:19">
      <c r="R20" t="s">
        <v>705</v>
      </c>
    </row>
    <row r="21" spans="18:19">
      <c r="R21" t="s">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Dien Truong</dc:creator>
  <cp:keywords/>
  <dc:description/>
  <cp:lastModifiedBy>Nguyễn Lê Thanh Hiển</cp:lastModifiedBy>
  <cp:revision/>
  <dcterms:created xsi:type="dcterms:W3CDTF">2015-06-05T18:17:20Z</dcterms:created>
  <dcterms:modified xsi:type="dcterms:W3CDTF">2026-03-31T18:02:56Z</dcterms:modified>
  <cp:category/>
  <cp:contentStatus/>
</cp:coreProperties>
</file>